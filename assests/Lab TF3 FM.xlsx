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2502637\Downloads\"/>
    </mc:Choice>
  </mc:AlternateContent>
  <xr:revisionPtr revIDLastSave="0" documentId="8_{530729F4-2E33-46B1-B6D3-84A927E0C1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ab Data &amp; Calculations" sheetId="1" r:id="rId1"/>
    <sheet name="Pump design" sheetId="5" r:id="rId2"/>
    <sheet name="Performance Curv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5" i="5" l="1"/>
  <c r="K12" i="5"/>
  <c r="O12" i="5"/>
  <c r="Q12" i="5"/>
  <c r="L12" i="5"/>
  <c r="P12" i="5"/>
  <c r="K22" i="5"/>
  <c r="O22" i="5"/>
  <c r="Q22" i="5"/>
  <c r="L22" i="5"/>
  <c r="P22" i="5"/>
  <c r="K45" i="5"/>
  <c r="M45" i="5"/>
  <c r="K41" i="5"/>
  <c r="L41" i="5"/>
  <c r="M41" i="5"/>
  <c r="K42" i="5"/>
  <c r="L42" i="5"/>
  <c r="M42" i="5"/>
  <c r="K43" i="5"/>
  <c r="L43" i="5"/>
  <c r="M43" i="5"/>
  <c r="K44" i="5"/>
  <c r="L44" i="5"/>
  <c r="M44" i="5"/>
  <c r="L28" i="5"/>
  <c r="L29" i="5"/>
  <c r="L30" i="5"/>
  <c r="L31" i="5"/>
  <c r="L32" i="5"/>
  <c r="L33" i="5"/>
  <c r="L34" i="5"/>
  <c r="L35" i="5"/>
  <c r="L36" i="5"/>
  <c r="L37" i="5"/>
  <c r="L38" i="5"/>
  <c r="L39" i="5"/>
  <c r="L27" i="5"/>
  <c r="X22" i="5"/>
  <c r="C34" i="1"/>
  <c r="C35" i="1"/>
  <c r="C36" i="1"/>
  <c r="C37" i="1"/>
  <c r="C38" i="1"/>
  <c r="C39" i="1"/>
  <c r="C40" i="1"/>
  <c r="C41" i="1"/>
  <c r="C42" i="1"/>
  <c r="C43" i="1"/>
  <c r="C33" i="1"/>
  <c r="C20" i="1"/>
  <c r="C21" i="1"/>
  <c r="C22" i="1"/>
  <c r="C23" i="1"/>
  <c r="C24" i="1"/>
  <c r="C25" i="1"/>
  <c r="C26" i="1"/>
  <c r="C27" i="1"/>
  <c r="C28" i="1"/>
  <c r="C29" i="1"/>
  <c r="C19" i="1"/>
  <c r="C6" i="1"/>
  <c r="C7" i="1"/>
  <c r="C8" i="1"/>
  <c r="C9" i="1"/>
  <c r="C10" i="1"/>
  <c r="C11" i="1"/>
  <c r="C12" i="1"/>
  <c r="C13" i="1"/>
  <c r="C14" i="1"/>
  <c r="C15" i="1"/>
  <c r="C5" i="1"/>
  <c r="L13" i="5"/>
  <c r="L14" i="5"/>
  <c r="L15" i="5"/>
  <c r="L16" i="5"/>
  <c r="L17" i="5"/>
  <c r="L18" i="5"/>
  <c r="L19" i="5"/>
  <c r="L20" i="5"/>
  <c r="L21" i="5"/>
  <c r="K13" i="5"/>
  <c r="K14" i="5"/>
  <c r="K15" i="5"/>
  <c r="K16" i="5"/>
  <c r="K17" i="5"/>
  <c r="K18" i="5"/>
  <c r="K19" i="5"/>
  <c r="K20" i="5"/>
  <c r="K21" i="5"/>
  <c r="D12" i="5"/>
  <c r="D13" i="5"/>
  <c r="D14" i="5"/>
  <c r="D15" i="5"/>
  <c r="C12" i="5"/>
  <c r="C13" i="5"/>
  <c r="C14" i="5"/>
  <c r="C15" i="5"/>
  <c r="F43" i="1"/>
  <c r="F42" i="1"/>
  <c r="F41" i="1"/>
  <c r="F40" i="1"/>
  <c r="F39" i="1"/>
  <c r="F38" i="1"/>
  <c r="F37" i="1"/>
  <c r="F36" i="1"/>
  <c r="F35" i="1"/>
  <c r="F34" i="1"/>
  <c r="F33" i="1"/>
  <c r="F29" i="1"/>
  <c r="F28" i="1"/>
  <c r="F27" i="1"/>
  <c r="F26" i="1"/>
  <c r="F25" i="1"/>
  <c r="F24" i="1"/>
  <c r="F23" i="1"/>
  <c r="F22" i="1"/>
  <c r="F21" i="1"/>
  <c r="F20" i="1"/>
  <c r="F19" i="1"/>
  <c r="F15" i="1"/>
  <c r="F14" i="1"/>
  <c r="F13" i="1"/>
  <c r="F12" i="1"/>
  <c r="F11" i="1"/>
  <c r="F10" i="1"/>
  <c r="F9" i="1"/>
  <c r="F8" i="1"/>
  <c r="F7" i="1"/>
  <c r="F6" i="1"/>
  <c r="F5" i="1"/>
  <c r="D24" i="5"/>
  <c r="C24" i="5"/>
  <c r="W12" i="5"/>
  <c r="S12" i="5"/>
  <c r="W21" i="5"/>
  <c r="S21" i="5"/>
  <c r="O21" i="5"/>
  <c r="W20" i="5"/>
  <c r="S20" i="5"/>
  <c r="O20" i="5"/>
  <c r="W19" i="5"/>
  <c r="S19" i="5"/>
  <c r="O19" i="5"/>
  <c r="W18" i="5"/>
  <c r="S18" i="5"/>
  <c r="O18" i="5"/>
  <c r="W17" i="5"/>
  <c r="S17" i="5"/>
  <c r="O17" i="5"/>
  <c r="W16" i="5"/>
  <c r="S16" i="5"/>
  <c r="O16" i="5"/>
  <c r="W15" i="5"/>
  <c r="S15" i="5"/>
  <c r="O15" i="5"/>
  <c r="W14" i="5"/>
  <c r="S14" i="5"/>
  <c r="O14" i="5"/>
  <c r="W13" i="5"/>
  <c r="S13" i="5"/>
  <c r="O13" i="5"/>
  <c r="W22" i="5"/>
  <c r="Y22" i="5"/>
  <c r="S22" i="5"/>
  <c r="U22" i="5"/>
  <c r="M22" i="5"/>
  <c r="T22" i="5"/>
  <c r="M12" i="5"/>
  <c r="C33" i="5"/>
  <c r="M21" i="5"/>
  <c r="Y21" i="5"/>
  <c r="M20" i="5"/>
  <c r="Y20" i="5"/>
  <c r="M19" i="5"/>
  <c r="Y19" i="5"/>
  <c r="M18" i="5"/>
  <c r="Y18" i="5"/>
  <c r="M17" i="5"/>
  <c r="Y17" i="5"/>
  <c r="M16" i="5"/>
  <c r="Y16" i="5"/>
  <c r="M15" i="5"/>
  <c r="Y15" i="5"/>
  <c r="M14" i="5"/>
  <c r="Y14" i="5"/>
  <c r="M13" i="5"/>
  <c r="Y13" i="5"/>
  <c r="U21" i="5"/>
  <c r="Q21" i="5"/>
  <c r="U20" i="5"/>
  <c r="Q20" i="5"/>
  <c r="U19" i="5"/>
  <c r="Q19" i="5"/>
  <c r="U18" i="5"/>
  <c r="Q18" i="5"/>
  <c r="U17" i="5"/>
  <c r="Q17" i="5"/>
  <c r="U16" i="5"/>
  <c r="Q16" i="5"/>
  <c r="U15" i="5"/>
  <c r="Q15" i="5"/>
  <c r="U14" i="5"/>
  <c r="Q14" i="5"/>
  <c r="U13" i="5"/>
  <c r="Q13" i="5"/>
  <c r="X12" i="5"/>
  <c r="T12" i="5"/>
  <c r="X21" i="5"/>
  <c r="T21" i="5"/>
  <c r="P21" i="5"/>
  <c r="X20" i="5"/>
  <c r="T20" i="5"/>
  <c r="P20" i="5"/>
  <c r="X19" i="5"/>
  <c r="T19" i="5"/>
  <c r="P19" i="5"/>
  <c r="X18" i="5"/>
  <c r="T18" i="5"/>
  <c r="P18" i="5"/>
  <c r="X17" i="5"/>
  <c r="T17" i="5"/>
  <c r="P17" i="5"/>
  <c r="X16" i="5"/>
  <c r="T16" i="5"/>
  <c r="P16" i="5"/>
  <c r="X15" i="5"/>
  <c r="T15" i="5"/>
  <c r="P15" i="5"/>
  <c r="X14" i="5"/>
  <c r="T14" i="5"/>
  <c r="P14" i="5"/>
  <c r="X13" i="5"/>
  <c r="T13" i="5"/>
  <c r="P13" i="5"/>
  <c r="G33" i="1"/>
  <c r="F5" i="2"/>
  <c r="G34" i="1"/>
  <c r="F6" i="2"/>
  <c r="G35" i="1"/>
  <c r="F7" i="2"/>
  <c r="G36" i="1"/>
  <c r="F8" i="2"/>
  <c r="G37" i="1"/>
  <c r="F9" i="2"/>
  <c r="G38" i="1"/>
  <c r="F10" i="2"/>
  <c r="G39" i="1"/>
  <c r="F11" i="2"/>
  <c r="G40" i="1"/>
  <c r="F12" i="2"/>
  <c r="G41" i="1"/>
  <c r="F13" i="2"/>
  <c r="G42" i="1"/>
  <c r="F14" i="2"/>
  <c r="G43" i="1"/>
  <c r="F15" i="2"/>
  <c r="G19" i="1"/>
  <c r="D5" i="2"/>
  <c r="G20" i="1"/>
  <c r="D6" i="2"/>
  <c r="G21" i="1"/>
  <c r="D7" i="2"/>
  <c r="G22" i="1"/>
  <c r="D8" i="2"/>
  <c r="G23" i="1"/>
  <c r="D9" i="2"/>
  <c r="G24" i="1"/>
  <c r="D10" i="2"/>
  <c r="G25" i="1"/>
  <c r="D11" i="2"/>
  <c r="G26" i="1"/>
  <c r="D12" i="2"/>
  <c r="G27" i="1"/>
  <c r="D13" i="2"/>
  <c r="G28" i="1"/>
  <c r="D14" i="2"/>
  <c r="G29" i="1"/>
  <c r="D15" i="2"/>
  <c r="G5" i="1"/>
  <c r="B5" i="2"/>
  <c r="G6" i="1"/>
  <c r="B6" i="2"/>
  <c r="G7" i="1"/>
  <c r="B7" i="2"/>
  <c r="G8" i="1"/>
  <c r="B8" i="2"/>
  <c r="G9" i="1"/>
  <c r="B9" i="2"/>
  <c r="G10" i="1"/>
  <c r="B10" i="2"/>
  <c r="G11" i="1"/>
  <c r="B11" i="2"/>
  <c r="G12" i="1"/>
  <c r="B12" i="2"/>
  <c r="G13" i="1"/>
  <c r="B13" i="2"/>
  <c r="G14" i="1"/>
  <c r="B14" i="2"/>
  <c r="G15" i="1"/>
  <c r="B15" i="2"/>
  <c r="U12" i="5"/>
  <c r="Y12" i="5"/>
  <c r="K39" i="5"/>
  <c r="K38" i="5"/>
  <c r="K37" i="5"/>
  <c r="K36" i="5"/>
  <c r="K35" i="5"/>
  <c r="K33" i="5"/>
  <c r="K31" i="5"/>
  <c r="K34" i="5"/>
  <c r="K32" i="5"/>
  <c r="K30" i="5"/>
  <c r="K29" i="5"/>
  <c r="K28" i="5"/>
  <c r="K27" i="5"/>
  <c r="M27" i="5"/>
  <c r="M39" i="5"/>
  <c r="M38" i="5"/>
  <c r="M37" i="5"/>
  <c r="M36" i="5"/>
  <c r="M35" i="5"/>
  <c r="M34" i="5"/>
  <c r="M33" i="5"/>
  <c r="M32" i="5"/>
  <c r="M31" i="5"/>
  <c r="M30" i="5"/>
  <c r="M29" i="5"/>
  <c r="M28" i="5"/>
  <c r="D23" i="5"/>
  <c r="C23" i="5"/>
</calcChain>
</file>

<file path=xl/sharedStrings.xml><?xml version="1.0" encoding="utf-8"?>
<sst xmlns="http://schemas.openxmlformats.org/spreadsheetml/2006/main" count="100" uniqueCount="52">
  <si>
    <t>PUMP A - LAB DATA &amp; HYDRAULIC POWER CALCULATIONS</t>
  </si>
  <si>
    <t>3300 RPM</t>
  </si>
  <si>
    <t>Point</t>
  </si>
  <si>
    <t>Q (ltr/min)</t>
  </si>
  <si>
    <t>Q (m³/s)</t>
  </si>
  <si>
    <t>P_discharge (bar)</t>
  </si>
  <si>
    <t>P_suction (bar)</t>
  </si>
  <si>
    <t>ΔP (bar)</t>
  </si>
  <si>
    <t>H (m) = ΔP×10.197</t>
  </si>
  <si>
    <t>2700 RPM</t>
  </si>
  <si>
    <t xml:space="preserve">Q (m³/s) </t>
  </si>
  <si>
    <t>2100 RPM</t>
  </si>
  <si>
    <t xml:space="preserve">PUMP SYSTEM DESIGN </t>
  </si>
  <si>
    <t>CLIENT REQUIREMENTS</t>
  </si>
  <si>
    <t>Q = Q1 + (H_target - H1) × (Q2 - Q1) / (H2 - H1)</t>
  </si>
  <si>
    <t>Fixed head loss:</t>
  </si>
  <si>
    <t>5 m</t>
  </si>
  <si>
    <t>Flow rate range:</t>
  </si>
  <si>
    <t>0.0001 - 0.013 m³/s</t>
  </si>
  <si>
    <t>Available equipment:</t>
  </si>
  <si>
    <t>Pump A, B, C, D at 2900 RPM (fixed)</t>
  </si>
  <si>
    <t>PUMP PERFORMANCE AT 2900 RPM (Estimated)</t>
  </si>
  <si>
    <t xml:space="preserve">Pump A </t>
  </si>
  <si>
    <t>Pump C</t>
  </si>
  <si>
    <t>Pump B</t>
  </si>
  <si>
    <t>Pump D</t>
  </si>
  <si>
    <t>Pump</t>
  </si>
  <si>
    <t>D (mm)</t>
  </si>
  <si>
    <t>Max Q (m³/s)</t>
  </si>
  <si>
    <t>H (m)</t>
  </si>
  <si>
    <t>Feasible?</t>
  </si>
  <si>
    <t>A</t>
  </si>
  <si>
    <t xml:space="preserve"> (H too low)</t>
  </si>
  <si>
    <t>B</t>
  </si>
  <si>
    <t>C</t>
  </si>
  <si>
    <t>Pump curve crosses H = 5 m</t>
  </si>
  <si>
    <t>D</t>
  </si>
  <si>
    <t>H_system (m)</t>
  </si>
  <si>
    <t>Q @ 5 m (m³/s)</t>
  </si>
  <si>
    <t>Q @ 5 m (L/min)</t>
  </si>
  <si>
    <t>Within required range?</t>
  </si>
  <si>
    <t>—</t>
  </si>
  <si>
    <t>-</t>
  </si>
  <si>
    <t>No (cannot reach 5 m)</t>
  </si>
  <si>
    <t>Yes</t>
  </si>
  <si>
    <t>Yes (exceeds required range; oversized)</t>
  </si>
  <si>
    <t>H(m)</t>
  </si>
  <si>
    <t>Q (ltr/min) @ C</t>
  </si>
  <si>
    <t>Q (ltr/min) @ D</t>
  </si>
  <si>
    <t>Total Q</t>
  </si>
  <si>
    <t>`</t>
  </si>
  <si>
    <t>PUMP PERFORMANCE CURVES - HEAD vs FLOW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</si>
</sst>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name val="Calibri"/>
    </font>
    <font>
      <b/>
      <sz val="9"/>
      <color rgb="FFFFFFFF"/>
      <name val="Calibri"/>
    </font>
    <font>
      <i/>
      <sz val="11"/>
      <name val="Calibri"/>
    </font>
    <font>
      <i/>
      <sz val="9"/>
      <name val="Calibri"/>
    </font>
    <font>
      <b/>
      <sz val="13"/>
      <color rgb="FFFFFFFF"/>
      <name val="Calibri"/>
    </font>
    <font>
      <sz val="9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</font>
    <font>
      <b/>
      <sz val="11"/>
      <color theme="0"/>
      <name val="Aptos Narrow"/>
      <charset val="1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3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horizontal="left" wrapText="1"/>
    </xf>
    <xf numFmtId="0" fontId="2" fillId="6" borderId="0" xfId="0" applyFont="1" applyFill="1"/>
    <xf numFmtId="0" fontId="12" fillId="0" borderId="0" xfId="0" applyFont="1"/>
    <xf numFmtId="0" fontId="13" fillId="6" borderId="0" xfId="0" applyFont="1" applyFill="1"/>
    <xf numFmtId="0" fontId="14" fillId="6" borderId="0" xfId="0" applyFont="1" applyFill="1"/>
    <xf numFmtId="0" fontId="15" fillId="6" borderId="0" xfId="0" applyFont="1" applyFill="1"/>
    <xf numFmtId="0" fontId="13" fillId="8" borderId="0" xfId="0" applyFont="1" applyFill="1"/>
    <xf numFmtId="0" fontId="0" fillId="8" borderId="0" xfId="0" applyFill="1"/>
    <xf numFmtId="0" fontId="13" fillId="7" borderId="0" xfId="0" applyFont="1" applyFill="1"/>
    <xf numFmtId="0" fontId="0" fillId="7" borderId="0" xfId="0" applyFill="1"/>
    <xf numFmtId="0" fontId="13" fillId="9" borderId="0" xfId="0" applyFont="1" applyFill="1"/>
    <xf numFmtId="0" fontId="0" fillId="9" borderId="0" xfId="0" applyFill="1"/>
    <xf numFmtId="0" fontId="13" fillId="10" borderId="0" xfId="0" applyFont="1" applyFill="1"/>
    <xf numFmtId="0" fontId="0" fillId="10" borderId="0" xfId="0" applyFill="1"/>
    <xf numFmtId="0" fontId="17" fillId="0" borderId="0" xfId="0" applyFont="1"/>
    <xf numFmtId="0" fontId="16" fillId="6" borderId="0" xfId="0" applyFont="1" applyFill="1"/>
    <xf numFmtId="0" fontId="16" fillId="6" borderId="0" xfId="0" applyFont="1" applyFill="1" applyAlignment="1">
      <alignment horizontal="center" wrapText="1"/>
    </xf>
    <xf numFmtId="0" fontId="18" fillId="6" borderId="0" xfId="0" applyFont="1" applyFill="1"/>
    <xf numFmtId="0" fontId="16" fillId="0" borderId="0" xfId="0" applyFont="1" applyAlignment="1">
      <alignment horizontal="center" wrapText="1"/>
    </xf>
    <xf numFmtId="164" fontId="17" fillId="0" borderId="0" xfId="0" applyNumberFormat="1" applyFont="1" applyAlignment="1">
      <alignment horizontal="center"/>
    </xf>
    <xf numFmtId="0" fontId="16" fillId="7" borderId="0" xfId="0" applyFont="1" applyFill="1"/>
    <xf numFmtId="0" fontId="16" fillId="7" borderId="0" xfId="0" applyFont="1" applyFill="1" applyAlignment="1">
      <alignment horizontal="center" wrapText="1"/>
    </xf>
    <xf numFmtId="164" fontId="18" fillId="7" borderId="0" xfId="0" applyNumberFormat="1" applyFont="1" applyFill="1" applyAlignment="1">
      <alignment horizontal="center"/>
    </xf>
    <xf numFmtId="0" fontId="16" fillId="3" borderId="0" xfId="0" applyFont="1" applyFill="1"/>
    <xf numFmtId="0" fontId="16" fillId="8" borderId="0" xfId="0" applyFont="1" applyFill="1" applyAlignment="1">
      <alignment horizontal="center" wrapText="1"/>
    </xf>
    <xf numFmtId="164" fontId="18" fillId="8" borderId="0" xfId="0" applyNumberFormat="1" applyFont="1" applyFill="1" applyAlignment="1">
      <alignment horizontal="center"/>
    </xf>
    <xf numFmtId="0" fontId="16" fillId="3" borderId="0" xfId="0" applyFont="1" applyFill="1" applyAlignment="1">
      <alignment horizontal="center" wrapText="1"/>
    </xf>
    <xf numFmtId="0" fontId="12" fillId="11" borderId="0" xfId="0" applyFont="1" applyFill="1"/>
    <xf numFmtId="0" fontId="16" fillId="5" borderId="0" xfId="0" applyFont="1" applyFill="1" applyAlignment="1"/>
    <xf numFmtId="0" fontId="17" fillId="5" borderId="0" xfId="0" applyFont="1" applyFill="1" applyAlignment="1"/>
    <xf numFmtId="0" fontId="9" fillId="2" borderId="0" xfId="0" applyFont="1" applyFill="1" applyAlignment="1"/>
    <xf numFmtId="0" fontId="0" fillId="0" borderId="0" xfId="0" applyAlignment="1"/>
    <xf numFmtId="0" fontId="1" fillId="5" borderId="0" xfId="0" applyFont="1" applyFill="1" applyAlignment="1"/>
    <xf numFmtId="0" fontId="0" fillId="5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Individual Pump Performance Curves at 2900 RPM (Scaled)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'Pump design'!$J$10</c:f>
              <c:strCache>
                <c:ptCount val="1"/>
                <c:pt idx="0">
                  <c:v>Pump A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  <a:prstDash val="solid"/>
              </a:ln>
              <a:effectLst/>
            </c:spPr>
          </c:marker>
          <c:trendline>
            <c:name>Pump A </c:nam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'Pump design'!$M$12:$M$22</c:f>
              <c:numCache>
                <c:formatCode>General</c:formatCode>
                <c:ptCount val="11"/>
                <c:pt idx="0">
                  <c:v>39.31111111111111</c:v>
                </c:pt>
                <c:pt idx="1">
                  <c:v>35.981481481481488</c:v>
                </c:pt>
                <c:pt idx="2">
                  <c:v>32.114814814814814</c:v>
                </c:pt>
                <c:pt idx="3">
                  <c:v>27.81851851851852</c:v>
                </c:pt>
                <c:pt idx="4">
                  <c:v>24.166666666666671</c:v>
                </c:pt>
                <c:pt idx="5">
                  <c:v>19.333333333333332</c:v>
                </c:pt>
                <c:pt idx="6">
                  <c:v>15.681481481481484</c:v>
                </c:pt>
                <c:pt idx="7">
                  <c:v>10.740740740740742</c:v>
                </c:pt>
                <c:pt idx="8">
                  <c:v>6.9814814814814818</c:v>
                </c:pt>
                <c:pt idx="9">
                  <c:v>3.5444444444444443</c:v>
                </c:pt>
                <c:pt idx="10">
                  <c:v>0</c:v>
                </c:pt>
              </c:numCache>
            </c:numRef>
          </c:xVal>
          <c:yVal>
            <c:numRef>
              <c:f>'Pump design'!$L$12:$L$22</c:f>
              <c:numCache>
                <c:formatCode>General</c:formatCode>
                <c:ptCount val="11"/>
                <c:pt idx="0">
                  <c:v>2.1174511111111114</c:v>
                </c:pt>
                <c:pt idx="1">
                  <c:v>3.2938128395061739</c:v>
                </c:pt>
                <c:pt idx="2">
                  <c:v>4.4701745679012355</c:v>
                </c:pt>
                <c:pt idx="3">
                  <c:v>5.6465362962962971</c:v>
                </c:pt>
                <c:pt idx="4">
                  <c:v>6.4699895061728405</c:v>
                </c:pt>
                <c:pt idx="5">
                  <c:v>7.4110788888888903</c:v>
                </c:pt>
                <c:pt idx="6">
                  <c:v>7.5287150617283958</c:v>
                </c:pt>
                <c:pt idx="7">
                  <c:v>8.587440617283951</c:v>
                </c:pt>
                <c:pt idx="8">
                  <c:v>8.9403491358024709</c:v>
                </c:pt>
                <c:pt idx="9">
                  <c:v>9.293257654320989</c:v>
                </c:pt>
                <c:pt idx="10">
                  <c:v>10.116710864197531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B-4444-87AA-7567F20FDD10}"/>
            </c:ext>
          </c:extLst>
        </c:ser>
        <c:ser>
          <c:idx val="1"/>
          <c:order val="1"/>
          <c:tx>
            <c:v>Pump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trendline>
            <c:name>Pump C</c:nam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'Pump design'!$Q$12:$Q$22</c:f>
              <c:numCache>
                <c:formatCode>General</c:formatCode>
                <c:ptCount val="11"/>
                <c:pt idx="0">
                  <c:v>314.48888888888888</c:v>
                </c:pt>
                <c:pt idx="1">
                  <c:v>287.8518518518519</c:v>
                </c:pt>
                <c:pt idx="2">
                  <c:v>256.91851851851851</c:v>
                </c:pt>
                <c:pt idx="3">
                  <c:v>222.54814814814816</c:v>
                </c:pt>
                <c:pt idx="4">
                  <c:v>193.33333333333337</c:v>
                </c:pt>
                <c:pt idx="5">
                  <c:v>154.66666666666666</c:v>
                </c:pt>
                <c:pt idx="6">
                  <c:v>125.45185185185187</c:v>
                </c:pt>
                <c:pt idx="7">
                  <c:v>85.925925925925938</c:v>
                </c:pt>
                <c:pt idx="8">
                  <c:v>55.851851851851855</c:v>
                </c:pt>
                <c:pt idx="9">
                  <c:v>28.355555555555554</c:v>
                </c:pt>
                <c:pt idx="10">
                  <c:v>0</c:v>
                </c:pt>
              </c:numCache>
            </c:numRef>
          </c:xVal>
          <c:yVal>
            <c:numRef>
              <c:f>'Pump design'!$P$12:$P$22</c:f>
              <c:numCache>
                <c:formatCode>General</c:formatCode>
                <c:ptCount val="11"/>
                <c:pt idx="0">
                  <c:v>8.4698044444444456</c:v>
                </c:pt>
                <c:pt idx="1">
                  <c:v>13.175251358024695</c:v>
                </c:pt>
                <c:pt idx="2">
                  <c:v>17.880698271604942</c:v>
                </c:pt>
                <c:pt idx="3">
                  <c:v>22.586145185185188</c:v>
                </c:pt>
                <c:pt idx="4">
                  <c:v>25.879958024691362</c:v>
                </c:pt>
                <c:pt idx="5">
                  <c:v>29.644315555555561</c:v>
                </c:pt>
                <c:pt idx="6">
                  <c:v>30.114860246913583</c:v>
                </c:pt>
                <c:pt idx="7">
                  <c:v>34.349762469135804</c:v>
                </c:pt>
                <c:pt idx="8">
                  <c:v>35.761396543209884</c:v>
                </c:pt>
                <c:pt idx="9">
                  <c:v>37.173030617283956</c:v>
                </c:pt>
                <c:pt idx="10">
                  <c:v>40.466843456790123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2B-4444-87AA-7567F20FDD10}"/>
            </c:ext>
          </c:extLst>
        </c:ser>
        <c:ser>
          <c:idx val="2"/>
          <c:order val="2"/>
          <c:tx>
            <c:strRef>
              <c:f>'Pump design'!$R$10</c:f>
              <c:strCache>
                <c:ptCount val="1"/>
                <c:pt idx="0">
                  <c:v>Pump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trendline>
            <c:name>Pump B</c:name>
            <c:spPr>
              <a:ln w="19050" cap="rnd">
                <a:solidFill>
                  <a:srgbClr val="7030A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'Pump design'!$U$12:$U$22</c:f>
              <c:numCache>
                <c:formatCode>General</c:formatCode>
                <c:ptCount val="11"/>
                <c:pt idx="0">
                  <c:v>132.67500000000001</c:v>
                </c:pt>
                <c:pt idx="1">
                  <c:v>121.43750000000003</c:v>
                </c:pt>
                <c:pt idx="2">
                  <c:v>108.3875</c:v>
                </c:pt>
                <c:pt idx="3">
                  <c:v>93.887500000000003</c:v>
                </c:pt>
                <c:pt idx="4">
                  <c:v>81.562500000000014</c:v>
                </c:pt>
                <c:pt idx="5">
                  <c:v>65.25</c:v>
                </c:pt>
                <c:pt idx="6">
                  <c:v>52.925000000000004</c:v>
                </c:pt>
                <c:pt idx="7">
                  <c:v>36.25</c:v>
                </c:pt>
                <c:pt idx="8">
                  <c:v>23.5625</c:v>
                </c:pt>
                <c:pt idx="9">
                  <c:v>11.9625</c:v>
                </c:pt>
                <c:pt idx="10">
                  <c:v>0</c:v>
                </c:pt>
              </c:numCache>
            </c:numRef>
          </c:xVal>
          <c:yVal>
            <c:numRef>
              <c:f>'Pump design'!$T$12:$T$22</c:f>
              <c:numCache>
                <c:formatCode>General</c:formatCode>
                <c:ptCount val="11"/>
                <c:pt idx="0">
                  <c:v>4.7642650000000009</c:v>
                </c:pt>
                <c:pt idx="1">
                  <c:v>7.4110788888888912</c:v>
                </c:pt>
                <c:pt idx="2">
                  <c:v>10.057892777777781</c:v>
                </c:pt>
                <c:pt idx="3">
                  <c:v>12.704706666666668</c:v>
                </c:pt>
                <c:pt idx="4">
                  <c:v>14.55747638888889</c:v>
                </c:pt>
                <c:pt idx="5">
                  <c:v>16.674927500000003</c:v>
                </c:pt>
                <c:pt idx="6">
                  <c:v>16.939608888888891</c:v>
                </c:pt>
                <c:pt idx="7">
                  <c:v>19.321741388888888</c:v>
                </c:pt>
                <c:pt idx="8">
                  <c:v>20.115785555555561</c:v>
                </c:pt>
                <c:pt idx="9">
                  <c:v>20.909829722222227</c:v>
                </c:pt>
                <c:pt idx="10">
                  <c:v>22.762599444444444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2B-4444-87AA-7567F20FDD10}"/>
            </c:ext>
          </c:extLst>
        </c:ser>
        <c:ser>
          <c:idx val="3"/>
          <c:order val="3"/>
          <c:tx>
            <c:strRef>
              <c:f>'Pump design'!$V$10</c:f>
              <c:strCache>
                <c:ptCount val="1"/>
                <c:pt idx="0">
                  <c:v>Pump 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trendline>
            <c:name>Pump D</c:nam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'Pump design'!$Y$12:$Y$22</c:f>
              <c:numCache>
                <c:formatCode>General</c:formatCode>
                <c:ptCount val="11"/>
                <c:pt idx="0">
                  <c:v>614.23611111111109</c:v>
                </c:pt>
                <c:pt idx="1">
                  <c:v>562.21064814814827</c:v>
                </c:pt>
                <c:pt idx="2">
                  <c:v>501.79398148148147</c:v>
                </c:pt>
                <c:pt idx="3">
                  <c:v>434.66435185185185</c:v>
                </c:pt>
                <c:pt idx="4">
                  <c:v>377.60416666666674</c:v>
                </c:pt>
                <c:pt idx="5">
                  <c:v>302.08333333333337</c:v>
                </c:pt>
                <c:pt idx="6">
                  <c:v>245.02314814814818</c:v>
                </c:pt>
                <c:pt idx="7">
                  <c:v>167.8240740740741</c:v>
                </c:pt>
                <c:pt idx="8">
                  <c:v>109.08564814814815</c:v>
                </c:pt>
                <c:pt idx="9">
                  <c:v>55.38194444444445</c:v>
                </c:pt>
                <c:pt idx="10">
                  <c:v>0</c:v>
                </c:pt>
              </c:numCache>
            </c:numRef>
          </c:xVal>
          <c:yVal>
            <c:numRef>
              <c:f>'Pump design'!$X$12:$X$22</c:f>
              <c:numCache>
                <c:formatCode>General</c:formatCode>
                <c:ptCount val="11"/>
                <c:pt idx="0">
                  <c:v>13.234069444444446</c:v>
                </c:pt>
                <c:pt idx="1">
                  <c:v>20.586330246913587</c:v>
                </c:pt>
                <c:pt idx="2">
                  <c:v>27.938591049382723</c:v>
                </c:pt>
                <c:pt idx="3">
                  <c:v>35.290851851851855</c:v>
                </c:pt>
                <c:pt idx="4">
                  <c:v>40.437434413580256</c:v>
                </c:pt>
                <c:pt idx="5">
                  <c:v>46.319243055555567</c:v>
                </c:pt>
                <c:pt idx="6">
                  <c:v>47.054469135802471</c:v>
                </c:pt>
                <c:pt idx="7">
                  <c:v>53.671503858024693</c:v>
                </c:pt>
                <c:pt idx="8">
                  <c:v>55.877182098765445</c:v>
                </c:pt>
                <c:pt idx="9">
                  <c:v>58.082860339506183</c:v>
                </c:pt>
                <c:pt idx="10">
                  <c:v>63.22944290123457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2B-4444-87AA-7567F20FD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367111"/>
        <c:axId val="1887123463"/>
      </c:scatterChart>
      <c:valAx>
        <c:axId val="1416367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(ltr/min)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23463"/>
        <c:crosses val="autoZero"/>
        <c:crossBetween val="midCat"/>
      </c:valAx>
      <c:valAx>
        <c:axId val="188712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67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5929698324250325"/>
          <c:y val="0.19918758712791257"/>
          <c:w val="0.13003020171228052"/>
          <c:h val="0.53842780244368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900"/>
              <a:t>Combined</a:t>
            </a:r>
            <a:r>
              <a:rPr lang="en-GB" sz="900" baseline="0"/>
              <a:t> Parrallel Pump Network (C&amp;D at 2900 RPM)</a:t>
            </a:r>
            <a:endParaRPr lang="en-GB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80927384076985E-2"/>
          <c:y val="0.12078703703703704"/>
          <c:w val="0.86641907261592299"/>
          <c:h val="0.45757473024205308"/>
        </c:manualLayout>
      </c:layout>
      <c:scatterChart>
        <c:scatterStyle val="lineMarker"/>
        <c:varyColors val="0"/>
        <c:ser>
          <c:idx val="0"/>
          <c:order val="0"/>
          <c:tx>
            <c:strRef>
              <c:f>'Pump design'!$K$26</c:f>
              <c:strCache>
                <c:ptCount val="1"/>
                <c:pt idx="0">
                  <c:v>Q (ltr/min) @ 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'Pump design'!$K$27:$K$39</c:f>
              <c:numCache>
                <c:formatCode>General</c:formatCode>
                <c:ptCount val="13"/>
                <c:pt idx="0">
                  <c:v>397.73594771241829</c:v>
                </c:pt>
                <c:pt idx="1">
                  <c:v>378.07857324301523</c:v>
                </c:pt>
                <c:pt idx="2">
                  <c:v>358.42119877361216</c:v>
                </c:pt>
                <c:pt idx="3">
                  <c:v>338.76382430420909</c:v>
                </c:pt>
                <c:pt idx="4">
                  <c:v>319.10644983480603</c:v>
                </c:pt>
                <c:pt idx="5">
                  <c:v>299.44907536540296</c:v>
                </c:pt>
                <c:pt idx="6">
                  <c:v>279.7917008959999</c:v>
                </c:pt>
                <c:pt idx="7">
                  <c:v>250.30563919189532</c:v>
                </c:pt>
                <c:pt idx="8">
                  <c:v>201.16220301838769</c:v>
                </c:pt>
                <c:pt idx="9">
                  <c:v>152.01876684488002</c:v>
                </c:pt>
                <c:pt idx="10">
                  <c:v>102.87533067137235</c:v>
                </c:pt>
                <c:pt idx="11">
                  <c:v>53.731894497864687</c:v>
                </c:pt>
                <c:pt idx="12">
                  <c:v>4.5884583243570205</c:v>
                </c:pt>
              </c:numCache>
            </c:numRef>
          </c:xVal>
          <c:yVal>
            <c:numRef>
              <c:f>'Pump design'!$J$27:$J$39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8-40EB-B217-399D17F846F7}"/>
            </c:ext>
          </c:extLst>
        </c:ser>
        <c:ser>
          <c:idx val="2"/>
          <c:order val="1"/>
          <c:tx>
            <c:v>Q (ltr/min) @ C+D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'Pump design'!$M$27:$M$39</c:f>
              <c:numCache>
                <c:formatCode>General</c:formatCode>
                <c:ptCount val="13"/>
                <c:pt idx="0">
                  <c:v>1174.5639705091403</c:v>
                </c:pt>
                <c:pt idx="1">
                  <c:v>1130.3348779550054</c:v>
                </c:pt>
                <c:pt idx="2">
                  <c:v>1086.1057854008707</c:v>
                </c:pt>
                <c:pt idx="3">
                  <c:v>1041.8766928467358</c:v>
                </c:pt>
                <c:pt idx="4">
                  <c:v>997.64760029260106</c:v>
                </c:pt>
                <c:pt idx="5">
                  <c:v>953.41850773846613</c:v>
                </c:pt>
                <c:pt idx="6">
                  <c:v>909.18941518433121</c:v>
                </c:pt>
                <c:pt idx="7">
                  <c:v>842.84577635312917</c:v>
                </c:pt>
                <c:pt idx="8">
                  <c:v>732.27304496779209</c:v>
                </c:pt>
                <c:pt idx="9">
                  <c:v>621.70031358245501</c:v>
                </c:pt>
                <c:pt idx="10">
                  <c:v>511.12758219711799</c:v>
                </c:pt>
                <c:pt idx="11">
                  <c:v>400.55485081178091</c:v>
                </c:pt>
                <c:pt idx="12">
                  <c:v>289.98211942644389</c:v>
                </c:pt>
              </c:numCache>
            </c:numRef>
          </c:xVal>
          <c:yVal>
            <c:numRef>
              <c:f>'Pump design'!$J$27:$J$39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D8-40EB-B217-399D17F846F7}"/>
            </c:ext>
          </c:extLst>
        </c:ser>
        <c:ser>
          <c:idx val="1"/>
          <c:order val="2"/>
          <c:tx>
            <c:strRef>
              <c:f>'Pump design'!$L$26</c:f>
              <c:strCache>
                <c:ptCount val="1"/>
                <c:pt idx="0">
                  <c:v>Q (ltr/min) @ 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'Pump design'!$L$27:$L$39</c:f>
              <c:numCache>
                <c:formatCode>General</c:formatCode>
                <c:ptCount val="13"/>
                <c:pt idx="0">
                  <c:v>776.82802279672194</c:v>
                </c:pt>
                <c:pt idx="1">
                  <c:v>752.2563047119902</c:v>
                </c:pt>
                <c:pt idx="2">
                  <c:v>727.68458662725845</c:v>
                </c:pt>
                <c:pt idx="3">
                  <c:v>703.11286854252671</c:v>
                </c:pt>
                <c:pt idx="4">
                  <c:v>678.54115045779497</c:v>
                </c:pt>
                <c:pt idx="5">
                  <c:v>653.96943237306323</c:v>
                </c:pt>
                <c:pt idx="6">
                  <c:v>629.39771428833137</c:v>
                </c:pt>
                <c:pt idx="7">
                  <c:v>592.54013716123382</c:v>
                </c:pt>
                <c:pt idx="8">
                  <c:v>531.1108419494044</c:v>
                </c:pt>
                <c:pt idx="9">
                  <c:v>469.68154673757499</c:v>
                </c:pt>
                <c:pt idx="10">
                  <c:v>408.25225152574563</c:v>
                </c:pt>
                <c:pt idx="11">
                  <c:v>346.82295631391622</c:v>
                </c:pt>
                <c:pt idx="12">
                  <c:v>285.39366110208687</c:v>
                </c:pt>
              </c:numCache>
            </c:numRef>
          </c:xVal>
          <c:yVal>
            <c:numRef>
              <c:f>'Pump design'!$J$27:$J$39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5C-4EFC-872F-494D25633A15}"/>
            </c:ext>
          </c:extLst>
        </c:ser>
        <c:ser>
          <c:idx val="3"/>
          <c:order val="3"/>
          <c:tx>
            <c:v>Operating Point C+D  1064 ltr/min @ 5m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12700">
                <a:solidFill>
                  <a:srgbClr val="FFC000"/>
                </a:solidFill>
              </a:ln>
              <a:effectLst/>
            </c:spPr>
          </c:marker>
          <c:dPt>
            <c:idx val="0"/>
            <c:marker>
              <c:symbol val="triangle"/>
              <c:size val="5"/>
              <c:spPr>
                <a:solidFill>
                  <a:srgbClr val="FFC000"/>
                </a:solidFill>
                <a:ln w="12700">
                  <a:solidFill>
                    <a:srgbClr val="FFC000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25-40DE-AA07-C0ED664714F5}"/>
              </c:ext>
            </c:extLst>
          </c:dPt>
          <c:xVal>
            <c:numRef>
              <c:f>'Pump design'!$M$45</c:f>
              <c:numCache>
                <c:formatCode>General</c:formatCode>
                <c:ptCount val="1"/>
                <c:pt idx="0">
                  <c:v>1063.9912391238031</c:v>
                </c:pt>
              </c:numCache>
            </c:numRef>
          </c:xVal>
          <c:yVal>
            <c:numRef>
              <c:f>'Pump design'!$J$45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5C-4EFC-872F-494D25633A15}"/>
            </c:ext>
          </c:extLst>
        </c:ser>
        <c:ser>
          <c:idx val="4"/>
          <c:order val="4"/>
          <c:tx>
            <c:v>System Head 5m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'Pump design'!$R$43:$R$44</c:f>
              <c:numCache>
                <c:formatCode>General</c:formatCode>
                <c:ptCount val="2"/>
                <c:pt idx="0">
                  <c:v>0</c:v>
                </c:pt>
                <c:pt idx="1">
                  <c:v>1200</c:v>
                </c:pt>
              </c:numCache>
            </c:numRef>
          </c:xVal>
          <c:yVal>
            <c:numRef>
              <c:f>'Pump design'!$S$43:$S$44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5C-4EFC-872F-494D25633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029128"/>
        <c:axId val="1145031176"/>
      </c:scatterChart>
      <c:valAx>
        <c:axId val="1145029128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</a:t>
                </a:r>
                <a:r>
                  <a:rPr lang="en-GB" baseline="0"/>
                  <a:t> (ltr/min)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31176"/>
        <c:crosses val="autoZero"/>
        <c:crossBetween val="midCat"/>
      </c:valAx>
      <c:valAx>
        <c:axId val="1145031176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</a:t>
                </a:r>
                <a:r>
                  <a:rPr lang="en-GB" baseline="0"/>
                  <a:t> (m)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29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964348206474192E-2"/>
          <c:y val="0.73668708078156897"/>
          <c:w val="0.9225155293088364"/>
          <c:h val="0.26331291921843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Pump A Lab Data: Head vs Flow Rate at 3300, 2700, and 2100 RPM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'Performance Curves'!$A$3</c:f>
              <c:strCache>
                <c:ptCount val="1"/>
                <c:pt idx="0">
                  <c:v>3300 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'Performance Curves'!$A$5:$A$15</c:f>
              <c:numCache>
                <c:formatCode>General</c:formatCode>
                <c:ptCount val="11"/>
                <c:pt idx="0">
                  <c:v>41.5</c:v>
                </c:pt>
                <c:pt idx="1">
                  <c:v>37.299999999999997</c:v>
                </c:pt>
                <c:pt idx="2">
                  <c:v>33.6</c:v>
                </c:pt>
                <c:pt idx="3">
                  <c:v>29.6</c:v>
                </c:pt>
                <c:pt idx="4">
                  <c:v>25.5</c:v>
                </c:pt>
                <c:pt idx="5">
                  <c:v>21.5</c:v>
                </c:pt>
                <c:pt idx="6">
                  <c:v>17.8</c:v>
                </c:pt>
                <c:pt idx="7">
                  <c:v>12.5</c:v>
                </c:pt>
                <c:pt idx="8">
                  <c:v>8.4</c:v>
                </c:pt>
                <c:pt idx="9">
                  <c:v>3.6</c:v>
                </c:pt>
                <c:pt idx="10">
                  <c:v>0</c:v>
                </c:pt>
              </c:numCache>
            </c:numRef>
          </c:xVal>
          <c:yVal>
            <c:numRef>
              <c:f>'Performance Curves'!$B$5:$B$15</c:f>
              <c:numCache>
                <c:formatCode>General</c:formatCode>
                <c:ptCount val="11"/>
                <c:pt idx="0">
                  <c:v>2.75319</c:v>
                </c:pt>
                <c:pt idx="1">
                  <c:v>4.3847099999999992</c:v>
                </c:pt>
                <c:pt idx="2">
                  <c:v>6.0162299999999993</c:v>
                </c:pt>
                <c:pt idx="3">
                  <c:v>7.2398699999999989</c:v>
                </c:pt>
                <c:pt idx="4">
                  <c:v>8.055629999999999</c:v>
                </c:pt>
                <c:pt idx="5">
                  <c:v>8.9733599999999996</c:v>
                </c:pt>
                <c:pt idx="6">
                  <c:v>9.9930599999999998</c:v>
                </c:pt>
                <c:pt idx="7">
                  <c:v>10.808819999999999</c:v>
                </c:pt>
                <c:pt idx="8">
                  <c:v>11.420640000000001</c:v>
                </c:pt>
                <c:pt idx="9">
                  <c:v>12.134429999999998</c:v>
                </c:pt>
                <c:pt idx="10">
                  <c:v>13.154129999999999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E2-43E1-ACBA-EC36369148D8}"/>
            </c:ext>
          </c:extLst>
        </c:ser>
        <c:ser>
          <c:idx val="2"/>
          <c:order val="1"/>
          <c:tx>
            <c:strRef>
              <c:f>'Performance Curves'!$C$3</c:f>
              <c:strCache>
                <c:ptCount val="1"/>
                <c:pt idx="0">
                  <c:v>2700 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'Performance Curves'!$C$5:$C$15</c:f>
              <c:numCache>
                <c:formatCode>General</c:formatCode>
                <c:ptCount val="11"/>
                <c:pt idx="0">
                  <c:v>36.6</c:v>
                </c:pt>
                <c:pt idx="1">
                  <c:v>33.5</c:v>
                </c:pt>
                <c:pt idx="2">
                  <c:v>29.9</c:v>
                </c:pt>
                <c:pt idx="3">
                  <c:v>25.9</c:v>
                </c:pt>
                <c:pt idx="4">
                  <c:v>22.5</c:v>
                </c:pt>
                <c:pt idx="5">
                  <c:v>18</c:v>
                </c:pt>
                <c:pt idx="6">
                  <c:v>14.6</c:v>
                </c:pt>
                <c:pt idx="7">
                  <c:v>10</c:v>
                </c:pt>
                <c:pt idx="8">
                  <c:v>6.5</c:v>
                </c:pt>
                <c:pt idx="9">
                  <c:v>3.3</c:v>
                </c:pt>
                <c:pt idx="10">
                  <c:v>0</c:v>
                </c:pt>
              </c:numCache>
            </c:numRef>
          </c:xVal>
          <c:yVal>
            <c:numRef>
              <c:f>'Performance Curves'!$D$5:$D$15</c:f>
              <c:numCache>
                <c:formatCode>General</c:formatCode>
                <c:ptCount val="11"/>
                <c:pt idx="0">
                  <c:v>1.8354599999999999</c:v>
                </c:pt>
                <c:pt idx="1">
                  <c:v>2.8551600000000001</c:v>
                </c:pt>
                <c:pt idx="2">
                  <c:v>3.8748599999999995</c:v>
                </c:pt>
                <c:pt idx="3">
                  <c:v>4.8945599999999994</c:v>
                </c:pt>
                <c:pt idx="4">
                  <c:v>5.6083499999999997</c:v>
                </c:pt>
                <c:pt idx="5">
                  <c:v>6.4241099999999998</c:v>
                </c:pt>
                <c:pt idx="6">
                  <c:v>6.5260799999999994</c:v>
                </c:pt>
                <c:pt idx="7">
                  <c:v>7.4438099999999991</c:v>
                </c:pt>
                <c:pt idx="8">
                  <c:v>7.7497199999999991</c:v>
                </c:pt>
                <c:pt idx="9">
                  <c:v>8.055629999999999</c:v>
                </c:pt>
                <c:pt idx="10">
                  <c:v>8.7694199999999984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E2-43E1-ACBA-EC36369148D8}"/>
            </c:ext>
          </c:extLst>
        </c:ser>
        <c:ser>
          <c:idx val="3"/>
          <c:order val="2"/>
          <c:tx>
            <c:strRef>
              <c:f>'Performance Curves'!$E$3</c:f>
              <c:strCache>
                <c:ptCount val="1"/>
                <c:pt idx="0">
                  <c:v>2100 RPM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'Performance Curves'!$E$5:$E$15</c:f>
              <c:numCache>
                <c:formatCode>General</c:formatCode>
                <c:ptCount val="11"/>
                <c:pt idx="0">
                  <c:v>24.3</c:v>
                </c:pt>
                <c:pt idx="1">
                  <c:v>22.2</c:v>
                </c:pt>
                <c:pt idx="2">
                  <c:v>20.2</c:v>
                </c:pt>
                <c:pt idx="3">
                  <c:v>17.5</c:v>
                </c:pt>
                <c:pt idx="4">
                  <c:v>15</c:v>
                </c:pt>
                <c:pt idx="5">
                  <c:v>12.8</c:v>
                </c:pt>
                <c:pt idx="6">
                  <c:v>9.9</c:v>
                </c:pt>
                <c:pt idx="7">
                  <c:v>7.5</c:v>
                </c:pt>
                <c:pt idx="8">
                  <c:v>5.2</c:v>
                </c:pt>
                <c:pt idx="9">
                  <c:v>3.3</c:v>
                </c:pt>
                <c:pt idx="10">
                  <c:v>0</c:v>
                </c:pt>
              </c:numCache>
            </c:numRef>
          </c:xVal>
          <c:yVal>
            <c:numRef>
              <c:f>'Performance Curves'!$F$5:$F$15</c:f>
              <c:numCache>
                <c:formatCode>General</c:formatCode>
                <c:ptCount val="11"/>
                <c:pt idx="0">
                  <c:v>1.1216699999999999</c:v>
                </c:pt>
                <c:pt idx="1">
                  <c:v>1.6315199999999999</c:v>
                </c:pt>
                <c:pt idx="2">
                  <c:v>2.1413700000000002</c:v>
                </c:pt>
                <c:pt idx="3">
                  <c:v>2.75319</c:v>
                </c:pt>
                <c:pt idx="4">
                  <c:v>3.4669799999999995</c:v>
                </c:pt>
                <c:pt idx="5">
                  <c:v>3.6709200000000002</c:v>
                </c:pt>
                <c:pt idx="6">
                  <c:v>4.0788000000000002</c:v>
                </c:pt>
                <c:pt idx="7">
                  <c:v>4.3847099999999992</c:v>
                </c:pt>
                <c:pt idx="8">
                  <c:v>4.5886499999999995</c:v>
                </c:pt>
                <c:pt idx="9">
                  <c:v>4.7925899999999997</c:v>
                </c:pt>
                <c:pt idx="10">
                  <c:v>5.3024399999999998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E2-43E1-ACBA-EC3636914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938631"/>
        <c:axId val="1380560391"/>
      </c:scatterChart>
      <c:valAx>
        <c:axId val="1342938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(ltr/min)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560391"/>
        <c:crosses val="autoZero"/>
        <c:crossBetween val="midCat"/>
      </c:valAx>
      <c:valAx>
        <c:axId val="1380560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938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2</xdr:row>
      <xdr:rowOff>133350</xdr:rowOff>
    </xdr:from>
    <xdr:to>
      <xdr:col>12</xdr:col>
      <xdr:colOff>9525</xdr:colOff>
      <xdr:row>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17A162-2BE7-45F4-6779-27593DF2B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457200"/>
          <a:ext cx="1847850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1</xdr:row>
      <xdr:rowOff>47626</xdr:rowOff>
    </xdr:from>
    <xdr:to>
      <xdr:col>3</xdr:col>
      <xdr:colOff>816726</xdr:colOff>
      <xdr:row>8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C7B6D-D63F-E4C8-495A-E2A1E23BF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266701"/>
          <a:ext cx="1854951" cy="1295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47625</xdr:rowOff>
    </xdr:from>
    <xdr:to>
      <xdr:col>2</xdr:col>
      <xdr:colOff>1104900</xdr:colOff>
      <xdr:row>39</xdr:row>
      <xdr:rowOff>85725</xdr:rowOff>
    </xdr:to>
    <xdr:graphicFrame macro="">
      <xdr:nvGraphicFramePr>
        <xdr:cNvPr id="14" name="Chart 12">
          <a:extLst>
            <a:ext uri="{FF2B5EF4-FFF2-40B4-BE49-F238E27FC236}">
              <a16:creationId xmlns:a16="http://schemas.microsoft.com/office/drawing/2014/main" id="{E6F3E5B3-CA97-B654-A476-2C6689E47255}"/>
            </a:ext>
            <a:ext uri="{147F2762-F138-4A5C-976F-8EAC2B608ADB}">
              <a16:predDERef xmlns:a16="http://schemas.microsoft.com/office/drawing/2014/main" pred="{E2871094-0547-4F6E-A846-22F696CE6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238125</xdr:colOff>
      <xdr:row>25</xdr:row>
      <xdr:rowOff>142875</xdr:rowOff>
    </xdr:from>
    <xdr:to>
      <xdr:col>19</xdr:col>
      <xdr:colOff>400050</xdr:colOff>
      <xdr:row>40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D8EEE0-1CD7-BDA0-E0ED-79508B8F356F}"/>
            </a:ext>
            <a:ext uri="{147F2762-F138-4A5C-976F-8EAC2B608ADB}">
              <a16:predDERef xmlns:a16="http://schemas.microsoft.com/office/drawing/2014/main" pred="{E6F3E5B3-CA97-B654-A476-2C6689E47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885825</xdr:colOff>
      <xdr:row>1</xdr:row>
      <xdr:rowOff>66675</xdr:rowOff>
    </xdr:from>
    <xdr:to>
      <xdr:col>4</xdr:col>
      <xdr:colOff>800100</xdr:colOff>
      <xdr:row>9</xdr:row>
      <xdr:rowOff>187460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BC24F4-EB93-492C-B30D-546AA99B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0" y="285750"/>
          <a:ext cx="1400175" cy="1644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0</xdr:row>
      <xdr:rowOff>152400</xdr:rowOff>
    </xdr:from>
    <xdr:to>
      <xdr:col>14</xdr:col>
      <xdr:colOff>47625</xdr:colOff>
      <xdr:row>15</xdr:row>
      <xdr:rowOff>38100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74EAEAD2-0DD8-84E7-1EDE-9A4E8592B3E0}"/>
            </a:ext>
            <a:ext uri="{147F2762-F138-4A5C-976F-8EAC2B608ADB}">
              <a16:predDERef xmlns:a16="http://schemas.microsoft.com/office/drawing/2014/main" pred="{7796196E-17E1-7E84-EDB8-973AA1608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workbookViewId="0">
      <selection activeCell="N9" sqref="N9"/>
    </sheetView>
  </sheetViews>
  <sheetFormatPr defaultColWidth="9.140625" defaultRowHeight="12.75"/>
  <cols>
    <col min="1" max="1" width="10" style="25" customWidth="1"/>
    <col min="2" max="2" width="14" style="25" customWidth="1"/>
    <col min="3" max="3" width="12" style="25" customWidth="1"/>
    <col min="4" max="4" width="14" style="25" customWidth="1"/>
    <col min="5" max="5" width="18" style="25" customWidth="1"/>
    <col min="6" max="6" width="14" style="25" customWidth="1"/>
    <col min="7" max="16384" width="9.140625" style="25"/>
  </cols>
  <sheetData>
    <row r="1" spans="1:12">
      <c r="A1" s="39" t="s">
        <v>0</v>
      </c>
      <c r="B1" s="40"/>
      <c r="C1" s="40"/>
      <c r="D1" s="40"/>
      <c r="E1" s="40"/>
      <c r="F1" s="40"/>
    </row>
    <row r="3" spans="1:12">
      <c r="A3" s="26" t="s">
        <v>1</v>
      </c>
    </row>
    <row r="4" spans="1:12" ht="38.25">
      <c r="A4" s="27" t="s">
        <v>2</v>
      </c>
      <c r="B4" s="27" t="s">
        <v>3</v>
      </c>
      <c r="C4" s="28" t="s">
        <v>4</v>
      </c>
      <c r="D4" s="27" t="s">
        <v>5</v>
      </c>
      <c r="E4" s="27" t="s">
        <v>6</v>
      </c>
      <c r="F4" s="27" t="s">
        <v>7</v>
      </c>
      <c r="G4" s="27" t="s">
        <v>8</v>
      </c>
      <c r="H4" s="27"/>
      <c r="I4" s="29"/>
      <c r="J4" s="29"/>
      <c r="K4" s="29"/>
      <c r="L4" s="29"/>
    </row>
    <row r="5" spans="1:12">
      <c r="A5" s="30">
        <v>1</v>
      </c>
      <c r="B5" s="30">
        <v>41.5</v>
      </c>
      <c r="C5" s="30">
        <f>B5/60000</f>
        <v>6.9166666666666671E-4</v>
      </c>
      <c r="D5" s="30">
        <v>0.11</v>
      </c>
      <c r="E5" s="30">
        <v>-0.16</v>
      </c>
      <c r="F5" s="30">
        <f t="shared" ref="F5:F15" si="0">D5-E5</f>
        <v>0.27</v>
      </c>
      <c r="G5" s="30">
        <f t="shared" ref="G5:G15" si="1">F5*10.197</f>
        <v>2.75319</v>
      </c>
      <c r="H5" s="30"/>
      <c r="I5" s="30"/>
      <c r="J5" s="30"/>
      <c r="K5" s="30"/>
      <c r="L5" s="30"/>
    </row>
    <row r="6" spans="1:12">
      <c r="A6" s="30">
        <v>2</v>
      </c>
      <c r="B6" s="30">
        <v>37.299999999999997</v>
      </c>
      <c r="C6" s="30">
        <f t="shared" ref="C6:C15" si="2">B6/60000</f>
        <v>6.2166666666666663E-4</v>
      </c>
      <c r="D6" s="30">
        <v>0.3</v>
      </c>
      <c r="E6" s="30">
        <v>-0.13</v>
      </c>
      <c r="F6" s="30">
        <f t="shared" si="0"/>
        <v>0.43</v>
      </c>
      <c r="G6" s="30">
        <f t="shared" si="1"/>
        <v>4.3847099999999992</v>
      </c>
      <c r="H6" s="30"/>
      <c r="I6" s="30"/>
      <c r="J6" s="30"/>
      <c r="K6" s="30"/>
      <c r="L6" s="30"/>
    </row>
    <row r="7" spans="1:12">
      <c r="A7" s="30">
        <v>3</v>
      </c>
      <c r="B7" s="30">
        <v>33.6</v>
      </c>
      <c r="C7" s="30">
        <f t="shared" si="2"/>
        <v>5.6000000000000006E-4</v>
      </c>
      <c r="D7" s="30">
        <v>0.48</v>
      </c>
      <c r="E7" s="30">
        <v>-0.11</v>
      </c>
      <c r="F7" s="30">
        <f t="shared" si="0"/>
        <v>0.59</v>
      </c>
      <c r="G7" s="30">
        <f t="shared" si="1"/>
        <v>6.0162299999999993</v>
      </c>
      <c r="H7" s="30"/>
      <c r="I7" s="30"/>
      <c r="J7" s="30"/>
      <c r="K7" s="30"/>
      <c r="L7" s="30"/>
    </row>
    <row r="8" spans="1:12">
      <c r="A8" s="30">
        <v>4</v>
      </c>
      <c r="B8" s="30">
        <v>29.6</v>
      </c>
      <c r="C8" s="30">
        <f t="shared" si="2"/>
        <v>4.9333333333333336E-4</v>
      </c>
      <c r="D8" s="30">
        <v>0.63</v>
      </c>
      <c r="E8" s="30">
        <v>-0.08</v>
      </c>
      <c r="F8" s="30">
        <f t="shared" si="0"/>
        <v>0.71</v>
      </c>
      <c r="G8" s="30">
        <f t="shared" si="1"/>
        <v>7.2398699999999989</v>
      </c>
      <c r="H8" s="30"/>
      <c r="I8" s="30"/>
      <c r="J8" s="30"/>
      <c r="K8" s="30"/>
      <c r="L8" s="30"/>
    </row>
    <row r="9" spans="1:12">
      <c r="A9" s="30">
        <v>5</v>
      </c>
      <c r="B9" s="30">
        <v>25.5</v>
      </c>
      <c r="C9" s="30">
        <f t="shared" si="2"/>
        <v>4.2499999999999998E-4</v>
      </c>
      <c r="D9" s="30">
        <v>0.72</v>
      </c>
      <c r="E9" s="30">
        <v>-7.0000000000000007E-2</v>
      </c>
      <c r="F9" s="30">
        <f t="shared" si="0"/>
        <v>0.79</v>
      </c>
      <c r="G9" s="30">
        <f t="shared" si="1"/>
        <v>8.055629999999999</v>
      </c>
      <c r="H9" s="30"/>
      <c r="I9" s="30"/>
      <c r="J9" s="30"/>
      <c r="K9" s="30"/>
      <c r="L9" s="30"/>
    </row>
    <row r="10" spans="1:12">
      <c r="A10" s="30">
        <v>6</v>
      </c>
      <c r="B10" s="30">
        <v>21.5</v>
      </c>
      <c r="C10" s="30">
        <f t="shared" si="2"/>
        <v>3.5833333333333333E-4</v>
      </c>
      <c r="D10" s="30">
        <v>0.83</v>
      </c>
      <c r="E10" s="30">
        <v>-0.05</v>
      </c>
      <c r="F10" s="30">
        <f t="shared" si="0"/>
        <v>0.88</v>
      </c>
      <c r="G10" s="30">
        <f t="shared" si="1"/>
        <v>8.9733599999999996</v>
      </c>
      <c r="H10" s="30"/>
      <c r="I10" s="30"/>
      <c r="J10" s="30"/>
      <c r="K10" s="30"/>
      <c r="L10" s="30"/>
    </row>
    <row r="11" spans="1:12">
      <c r="A11" s="30">
        <v>7</v>
      </c>
      <c r="B11" s="30">
        <v>17.8</v>
      </c>
      <c r="C11" s="30">
        <f t="shared" si="2"/>
        <v>2.966666666666667E-4</v>
      </c>
      <c r="D11" s="30">
        <v>0.94</v>
      </c>
      <c r="E11" s="30">
        <v>-0.04</v>
      </c>
      <c r="F11" s="30">
        <f t="shared" si="0"/>
        <v>0.98</v>
      </c>
      <c r="G11" s="30">
        <f t="shared" si="1"/>
        <v>9.9930599999999998</v>
      </c>
      <c r="H11" s="30"/>
      <c r="I11" s="30"/>
      <c r="J11" s="30"/>
      <c r="K11" s="30"/>
      <c r="L11" s="30"/>
    </row>
    <row r="12" spans="1:12">
      <c r="A12" s="30">
        <v>8</v>
      </c>
      <c r="B12" s="30">
        <v>12.5</v>
      </c>
      <c r="C12" s="30">
        <f t="shared" si="2"/>
        <v>2.0833333333333335E-4</v>
      </c>
      <c r="D12" s="30">
        <v>1.04</v>
      </c>
      <c r="E12" s="30">
        <v>-0.02</v>
      </c>
      <c r="F12" s="30">
        <f t="shared" si="0"/>
        <v>1.06</v>
      </c>
      <c r="G12" s="30">
        <f t="shared" si="1"/>
        <v>10.808819999999999</v>
      </c>
      <c r="H12" s="30"/>
      <c r="I12" s="30"/>
      <c r="J12" s="30"/>
      <c r="K12" s="30"/>
      <c r="L12" s="30"/>
    </row>
    <row r="13" spans="1:12">
      <c r="A13" s="30">
        <v>9</v>
      </c>
      <c r="B13" s="30">
        <v>8.4</v>
      </c>
      <c r="C13" s="30">
        <f t="shared" si="2"/>
        <v>1.4000000000000001E-4</v>
      </c>
      <c r="D13" s="30">
        <v>1.1100000000000001</v>
      </c>
      <c r="E13" s="30">
        <v>-0.01</v>
      </c>
      <c r="F13" s="30">
        <f t="shared" si="0"/>
        <v>1.1200000000000001</v>
      </c>
      <c r="G13" s="30">
        <f t="shared" si="1"/>
        <v>11.420640000000001</v>
      </c>
      <c r="H13" s="30"/>
      <c r="I13" s="30"/>
      <c r="J13" s="30"/>
      <c r="K13" s="30"/>
      <c r="L13" s="30"/>
    </row>
    <row r="14" spans="1:12">
      <c r="A14" s="30">
        <v>10</v>
      </c>
      <c r="B14" s="30">
        <v>3.6</v>
      </c>
      <c r="C14" s="30">
        <f t="shared" si="2"/>
        <v>6.0000000000000002E-5</v>
      </c>
      <c r="D14" s="30">
        <v>1.19</v>
      </c>
      <c r="E14" s="30">
        <v>0</v>
      </c>
      <c r="F14" s="30">
        <f t="shared" si="0"/>
        <v>1.19</v>
      </c>
      <c r="G14" s="30">
        <f t="shared" si="1"/>
        <v>12.134429999999998</v>
      </c>
      <c r="H14" s="30"/>
      <c r="I14" s="30"/>
      <c r="J14" s="30"/>
      <c r="K14" s="30"/>
      <c r="L14" s="30"/>
    </row>
    <row r="15" spans="1:12">
      <c r="A15" s="30">
        <v>11</v>
      </c>
      <c r="B15" s="30">
        <v>0</v>
      </c>
      <c r="C15" s="30">
        <f t="shared" si="2"/>
        <v>0</v>
      </c>
      <c r="D15" s="30">
        <v>1.29</v>
      </c>
      <c r="E15" s="30">
        <v>0</v>
      </c>
      <c r="F15" s="30">
        <f t="shared" si="0"/>
        <v>1.29</v>
      </c>
      <c r="G15" s="30">
        <f t="shared" si="1"/>
        <v>13.154129999999999</v>
      </c>
      <c r="H15" s="30"/>
      <c r="I15" s="30"/>
      <c r="J15" s="30"/>
      <c r="K15" s="30"/>
      <c r="L15" s="30"/>
    </row>
    <row r="16" spans="1:12">
      <c r="C16" s="30"/>
    </row>
    <row r="17" spans="1:8">
      <c r="A17" s="31" t="s">
        <v>9</v>
      </c>
      <c r="C17" s="30"/>
    </row>
    <row r="18" spans="1:8" ht="38.25">
      <c r="A18" s="32" t="s">
        <v>2</v>
      </c>
      <c r="B18" s="32" t="s">
        <v>3</v>
      </c>
      <c r="C18" s="33" t="s">
        <v>10</v>
      </c>
      <c r="D18" s="32" t="s">
        <v>5</v>
      </c>
      <c r="E18" s="32" t="s">
        <v>6</v>
      </c>
      <c r="F18" s="32" t="s">
        <v>7</v>
      </c>
      <c r="G18" s="32" t="s">
        <v>8</v>
      </c>
      <c r="H18" s="32"/>
    </row>
    <row r="19" spans="1:8">
      <c r="A19" s="30">
        <v>1</v>
      </c>
      <c r="B19" s="30">
        <v>36.6</v>
      </c>
      <c r="C19" s="30">
        <f>B19/60000</f>
        <v>6.0999999999999997E-4</v>
      </c>
      <c r="D19" s="30">
        <v>7.0000000000000007E-2</v>
      </c>
      <c r="E19" s="30">
        <v>-0.11</v>
      </c>
      <c r="F19" s="30">
        <f t="shared" ref="F19:F29" si="3">D19-E19</f>
        <v>0.18</v>
      </c>
      <c r="G19" s="30">
        <f t="shared" ref="G19:G29" si="4">F19*10.197</f>
        <v>1.8354599999999999</v>
      </c>
      <c r="H19" s="30"/>
    </row>
    <row r="20" spans="1:8">
      <c r="A20" s="30">
        <v>2</v>
      </c>
      <c r="B20" s="30">
        <v>33.5</v>
      </c>
      <c r="C20" s="30">
        <f t="shared" ref="C20:C29" si="5">B20/60000</f>
        <v>5.5833333333333332E-4</v>
      </c>
      <c r="D20" s="30">
        <v>0.19</v>
      </c>
      <c r="E20" s="30">
        <v>-0.09</v>
      </c>
      <c r="F20" s="30">
        <f t="shared" si="3"/>
        <v>0.28000000000000003</v>
      </c>
      <c r="G20" s="30">
        <f t="shared" si="4"/>
        <v>2.8551600000000001</v>
      </c>
      <c r="H20" s="30"/>
    </row>
    <row r="21" spans="1:8">
      <c r="A21" s="30">
        <v>3</v>
      </c>
      <c r="B21" s="30">
        <v>29.9</v>
      </c>
      <c r="C21" s="30">
        <f t="shared" si="5"/>
        <v>4.9833333333333327E-4</v>
      </c>
      <c r="D21" s="30">
        <v>0.31</v>
      </c>
      <c r="E21" s="30">
        <v>-7.0000000000000007E-2</v>
      </c>
      <c r="F21" s="30">
        <f t="shared" si="3"/>
        <v>0.38</v>
      </c>
      <c r="G21" s="30">
        <f t="shared" si="4"/>
        <v>3.8748599999999995</v>
      </c>
      <c r="H21" s="30"/>
    </row>
    <row r="22" spans="1:8">
      <c r="A22" s="30">
        <v>4</v>
      </c>
      <c r="B22" s="30">
        <v>25.9</v>
      </c>
      <c r="C22" s="30">
        <f t="shared" si="5"/>
        <v>4.3166666666666662E-4</v>
      </c>
      <c r="D22" s="30">
        <v>0.42</v>
      </c>
      <c r="E22" s="30">
        <v>-0.06</v>
      </c>
      <c r="F22" s="30">
        <f t="shared" si="3"/>
        <v>0.48</v>
      </c>
      <c r="G22" s="30">
        <f t="shared" si="4"/>
        <v>4.8945599999999994</v>
      </c>
      <c r="H22" s="30"/>
    </row>
    <row r="23" spans="1:8">
      <c r="A23" s="30">
        <v>5</v>
      </c>
      <c r="B23" s="30">
        <v>22.5</v>
      </c>
      <c r="C23" s="30">
        <f t="shared" si="5"/>
        <v>3.7500000000000001E-4</v>
      </c>
      <c r="D23" s="30">
        <v>0.51</v>
      </c>
      <c r="E23" s="30">
        <v>-0.04</v>
      </c>
      <c r="F23" s="30">
        <f t="shared" si="3"/>
        <v>0.55000000000000004</v>
      </c>
      <c r="G23" s="30">
        <f t="shared" si="4"/>
        <v>5.6083499999999997</v>
      </c>
      <c r="H23" s="30"/>
    </row>
    <row r="24" spans="1:8">
      <c r="A24" s="30">
        <v>6</v>
      </c>
      <c r="B24" s="30">
        <v>18</v>
      </c>
      <c r="C24" s="30">
        <f t="shared" si="5"/>
        <v>2.9999999999999997E-4</v>
      </c>
      <c r="D24" s="30">
        <v>0.6</v>
      </c>
      <c r="E24" s="30">
        <v>-0.03</v>
      </c>
      <c r="F24" s="30">
        <f t="shared" si="3"/>
        <v>0.63</v>
      </c>
      <c r="G24" s="30">
        <f t="shared" si="4"/>
        <v>6.4241099999999998</v>
      </c>
      <c r="H24" s="30"/>
    </row>
    <row r="25" spans="1:8">
      <c r="A25" s="30">
        <v>7</v>
      </c>
      <c r="B25" s="30">
        <v>14.6</v>
      </c>
      <c r="C25" s="30">
        <f t="shared" si="5"/>
        <v>2.4333333333333333E-4</v>
      </c>
      <c r="D25" s="30">
        <v>0.62</v>
      </c>
      <c r="E25" s="30">
        <v>-0.02</v>
      </c>
      <c r="F25" s="30">
        <f t="shared" si="3"/>
        <v>0.64</v>
      </c>
      <c r="G25" s="30">
        <f t="shared" si="4"/>
        <v>6.5260799999999994</v>
      </c>
      <c r="H25" s="30"/>
    </row>
    <row r="26" spans="1:8">
      <c r="A26" s="30">
        <v>8</v>
      </c>
      <c r="B26" s="30">
        <v>10</v>
      </c>
      <c r="C26" s="30">
        <f t="shared" si="5"/>
        <v>1.6666666666666666E-4</v>
      </c>
      <c r="D26" s="30">
        <v>0.72</v>
      </c>
      <c r="E26" s="30">
        <v>-0.01</v>
      </c>
      <c r="F26" s="30">
        <f t="shared" si="3"/>
        <v>0.73</v>
      </c>
      <c r="G26" s="30">
        <f t="shared" si="4"/>
        <v>7.4438099999999991</v>
      </c>
      <c r="H26" s="30"/>
    </row>
    <row r="27" spans="1:8">
      <c r="A27" s="30">
        <v>9</v>
      </c>
      <c r="B27" s="30">
        <v>6.5</v>
      </c>
      <c r="C27" s="30">
        <f t="shared" si="5"/>
        <v>1.0833333333333333E-4</v>
      </c>
      <c r="D27" s="30">
        <v>0.76</v>
      </c>
      <c r="E27" s="30">
        <v>0</v>
      </c>
      <c r="F27" s="30">
        <f t="shared" si="3"/>
        <v>0.76</v>
      </c>
      <c r="G27" s="30">
        <f t="shared" si="4"/>
        <v>7.7497199999999991</v>
      </c>
      <c r="H27" s="30"/>
    </row>
    <row r="28" spans="1:8">
      <c r="A28" s="30">
        <v>10</v>
      </c>
      <c r="B28" s="30">
        <v>3.3</v>
      </c>
      <c r="C28" s="30">
        <f t="shared" si="5"/>
        <v>5.4999999999999995E-5</v>
      </c>
      <c r="D28" s="30">
        <v>0.79</v>
      </c>
      <c r="E28" s="30">
        <v>0</v>
      </c>
      <c r="F28" s="30">
        <f t="shared" si="3"/>
        <v>0.79</v>
      </c>
      <c r="G28" s="30">
        <f t="shared" si="4"/>
        <v>8.055629999999999</v>
      </c>
      <c r="H28" s="30"/>
    </row>
    <row r="29" spans="1:8">
      <c r="A29" s="30">
        <v>11</v>
      </c>
      <c r="B29" s="30">
        <v>0</v>
      </c>
      <c r="C29" s="30">
        <f t="shared" si="5"/>
        <v>0</v>
      </c>
      <c r="D29" s="30">
        <v>0.86</v>
      </c>
      <c r="E29" s="30">
        <v>0</v>
      </c>
      <c r="F29" s="30">
        <f t="shared" si="3"/>
        <v>0.86</v>
      </c>
      <c r="G29" s="30">
        <f t="shared" si="4"/>
        <v>8.7694199999999984</v>
      </c>
      <c r="H29" s="30"/>
    </row>
    <row r="30" spans="1:8">
      <c r="C30" s="30"/>
    </row>
    <row r="31" spans="1:8">
      <c r="A31" s="34" t="s">
        <v>11</v>
      </c>
      <c r="C31" s="30"/>
    </row>
    <row r="32" spans="1:8" ht="38.25">
      <c r="A32" s="35" t="s">
        <v>2</v>
      </c>
      <c r="B32" s="35" t="s">
        <v>3</v>
      </c>
      <c r="C32" s="36" t="s">
        <v>10</v>
      </c>
      <c r="D32" s="35" t="s">
        <v>5</v>
      </c>
      <c r="E32" s="35" t="s">
        <v>6</v>
      </c>
      <c r="F32" s="35" t="s">
        <v>7</v>
      </c>
      <c r="G32" s="35" t="s">
        <v>8</v>
      </c>
      <c r="H32" s="37"/>
    </row>
    <row r="33" spans="1:8">
      <c r="A33" s="30">
        <v>1</v>
      </c>
      <c r="B33" s="30">
        <v>24.3</v>
      </c>
      <c r="C33" s="30">
        <f>B33/60000</f>
        <v>4.0500000000000003E-4</v>
      </c>
      <c r="D33" s="30">
        <v>0.05</v>
      </c>
      <c r="E33" s="30">
        <v>-0.06</v>
      </c>
      <c r="F33" s="30">
        <f t="shared" ref="F33:F43" si="6">D33-E33</f>
        <v>0.11</v>
      </c>
      <c r="G33" s="30">
        <f t="shared" ref="G33:G43" si="7">F33*10.197</f>
        <v>1.1216699999999999</v>
      </c>
      <c r="H33" s="30"/>
    </row>
    <row r="34" spans="1:8">
      <c r="A34" s="30">
        <v>2</v>
      </c>
      <c r="B34" s="30">
        <v>22.2</v>
      </c>
      <c r="C34" s="30">
        <f t="shared" ref="C34:C43" si="8">B34/60000</f>
        <v>3.6999999999999999E-4</v>
      </c>
      <c r="D34" s="30">
        <v>0.1</v>
      </c>
      <c r="E34" s="30">
        <v>-0.06</v>
      </c>
      <c r="F34" s="30">
        <f t="shared" si="6"/>
        <v>0.16</v>
      </c>
      <c r="G34" s="30">
        <f t="shared" si="7"/>
        <v>1.6315199999999999</v>
      </c>
      <c r="H34" s="30"/>
    </row>
    <row r="35" spans="1:8">
      <c r="A35" s="30">
        <v>3</v>
      </c>
      <c r="B35" s="30">
        <v>20.2</v>
      </c>
      <c r="C35" s="30">
        <f t="shared" si="8"/>
        <v>3.3666666666666665E-4</v>
      </c>
      <c r="D35" s="30">
        <v>0.17</v>
      </c>
      <c r="E35" s="30">
        <v>-0.04</v>
      </c>
      <c r="F35" s="30">
        <f t="shared" si="6"/>
        <v>0.21000000000000002</v>
      </c>
      <c r="G35" s="30">
        <f t="shared" si="7"/>
        <v>2.1413700000000002</v>
      </c>
      <c r="H35" s="30"/>
    </row>
    <row r="36" spans="1:8">
      <c r="A36" s="30">
        <v>4</v>
      </c>
      <c r="B36" s="30">
        <v>17.5</v>
      </c>
      <c r="C36" s="30">
        <f t="shared" si="8"/>
        <v>2.9166666666666669E-4</v>
      </c>
      <c r="D36" s="30">
        <v>0.24</v>
      </c>
      <c r="E36" s="30">
        <v>-0.03</v>
      </c>
      <c r="F36" s="30">
        <f t="shared" si="6"/>
        <v>0.27</v>
      </c>
      <c r="G36" s="30">
        <f t="shared" si="7"/>
        <v>2.75319</v>
      </c>
      <c r="H36" s="30"/>
    </row>
    <row r="37" spans="1:8">
      <c r="A37" s="30">
        <v>5</v>
      </c>
      <c r="B37" s="30">
        <v>15</v>
      </c>
      <c r="C37" s="30">
        <f t="shared" si="8"/>
        <v>2.5000000000000001E-4</v>
      </c>
      <c r="D37" s="30">
        <v>0.31</v>
      </c>
      <c r="E37" s="30">
        <v>-0.03</v>
      </c>
      <c r="F37" s="30">
        <f t="shared" si="6"/>
        <v>0.33999999999999997</v>
      </c>
      <c r="G37" s="30">
        <f t="shared" si="7"/>
        <v>3.4669799999999995</v>
      </c>
      <c r="H37" s="30"/>
    </row>
    <row r="38" spans="1:8">
      <c r="A38" s="30">
        <v>6</v>
      </c>
      <c r="B38" s="30">
        <v>12.8</v>
      </c>
      <c r="C38" s="30">
        <f t="shared" si="8"/>
        <v>2.1333333333333333E-4</v>
      </c>
      <c r="D38" s="30">
        <v>0.34</v>
      </c>
      <c r="E38" s="30">
        <v>-0.02</v>
      </c>
      <c r="F38" s="30">
        <f t="shared" si="6"/>
        <v>0.36000000000000004</v>
      </c>
      <c r="G38" s="30">
        <f t="shared" si="7"/>
        <v>3.6709200000000002</v>
      </c>
      <c r="H38" s="30"/>
    </row>
    <row r="39" spans="1:8">
      <c r="A39" s="30">
        <v>7</v>
      </c>
      <c r="B39" s="30">
        <v>9.9</v>
      </c>
      <c r="C39" s="30">
        <f t="shared" si="8"/>
        <v>1.65E-4</v>
      </c>
      <c r="D39" s="30">
        <v>0.39</v>
      </c>
      <c r="E39" s="30">
        <v>-0.01</v>
      </c>
      <c r="F39" s="30">
        <f t="shared" si="6"/>
        <v>0.4</v>
      </c>
      <c r="G39" s="30">
        <f t="shared" si="7"/>
        <v>4.0788000000000002</v>
      </c>
      <c r="H39" s="30"/>
    </row>
    <row r="40" spans="1:8">
      <c r="A40" s="30">
        <v>8</v>
      </c>
      <c r="B40" s="30">
        <v>7.5</v>
      </c>
      <c r="C40" s="30">
        <f t="shared" si="8"/>
        <v>1.25E-4</v>
      </c>
      <c r="D40" s="30">
        <v>0.42</v>
      </c>
      <c r="E40" s="30">
        <v>-0.01</v>
      </c>
      <c r="F40" s="30">
        <f t="shared" si="6"/>
        <v>0.43</v>
      </c>
      <c r="G40" s="30">
        <f t="shared" si="7"/>
        <v>4.3847099999999992</v>
      </c>
      <c r="H40" s="30"/>
    </row>
    <row r="41" spans="1:8">
      <c r="A41" s="30">
        <v>9</v>
      </c>
      <c r="B41" s="30">
        <v>5.2</v>
      </c>
      <c r="C41" s="30">
        <f t="shared" si="8"/>
        <v>8.6666666666666668E-5</v>
      </c>
      <c r="D41" s="30">
        <v>0.45</v>
      </c>
      <c r="E41" s="30">
        <v>0</v>
      </c>
      <c r="F41" s="30">
        <f t="shared" si="6"/>
        <v>0.45</v>
      </c>
      <c r="G41" s="30">
        <f t="shared" si="7"/>
        <v>4.5886499999999995</v>
      </c>
      <c r="H41" s="30"/>
    </row>
    <row r="42" spans="1:8">
      <c r="A42" s="30">
        <v>10</v>
      </c>
      <c r="B42" s="30">
        <v>3.3</v>
      </c>
      <c r="C42" s="30">
        <f t="shared" si="8"/>
        <v>5.4999999999999995E-5</v>
      </c>
      <c r="D42" s="30">
        <v>0.47</v>
      </c>
      <c r="E42" s="30">
        <v>0</v>
      </c>
      <c r="F42" s="30">
        <f t="shared" si="6"/>
        <v>0.47</v>
      </c>
      <c r="G42" s="30">
        <f t="shared" si="7"/>
        <v>4.7925899999999997</v>
      </c>
      <c r="H42" s="30"/>
    </row>
    <row r="43" spans="1:8">
      <c r="A43" s="30">
        <v>11</v>
      </c>
      <c r="B43" s="30">
        <v>0</v>
      </c>
      <c r="C43" s="30">
        <f t="shared" si="8"/>
        <v>0</v>
      </c>
      <c r="D43" s="30">
        <v>0.52</v>
      </c>
      <c r="E43" s="30">
        <v>0</v>
      </c>
      <c r="F43" s="30">
        <f t="shared" si="6"/>
        <v>0.52</v>
      </c>
      <c r="G43" s="30">
        <f t="shared" si="7"/>
        <v>5.3024399999999998</v>
      </c>
      <c r="H43" s="30"/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8E05-7721-4E83-8A49-EED66CDC68A7}">
  <dimension ref="A1:AG62"/>
  <sheetViews>
    <sheetView tabSelected="1" topLeftCell="F10" workbookViewId="0">
      <selection activeCell="H23" sqref="H23"/>
    </sheetView>
  </sheetViews>
  <sheetFormatPr defaultRowHeight="15"/>
  <cols>
    <col min="1" max="1" width="27.42578125" customWidth="1"/>
    <col min="2" max="2" width="24.5703125" customWidth="1"/>
    <col min="3" max="3" width="21.85546875" customWidth="1"/>
    <col min="4" max="4" width="22.28515625" customWidth="1"/>
    <col min="5" max="5" width="24.7109375" customWidth="1"/>
    <col min="6" max="6" width="16.28515625" customWidth="1"/>
    <col min="10" max="10" width="9.42578125" customWidth="1"/>
    <col min="11" max="11" width="16.85546875" customWidth="1"/>
    <col min="12" max="12" width="16.42578125" customWidth="1"/>
    <col min="13" max="13" width="12.28515625" customWidth="1"/>
    <col min="15" max="15" width="16.5703125" customWidth="1"/>
    <col min="16" max="16" width="19" customWidth="1"/>
    <col min="19" max="19" width="12.28515625" customWidth="1"/>
    <col min="20" max="20" width="15" customWidth="1"/>
    <col min="21" max="21" width="11.5703125" customWidth="1"/>
    <col min="23" max="23" width="10.85546875" customWidth="1"/>
    <col min="24" max="24" width="13" customWidth="1"/>
  </cols>
  <sheetData>
    <row r="1" spans="1:33" ht="17.25">
      <c r="A1" s="41" t="s">
        <v>12</v>
      </c>
      <c r="B1" s="42"/>
      <c r="C1" s="42"/>
      <c r="D1" s="42"/>
      <c r="E1" s="42"/>
      <c r="F1" s="42"/>
    </row>
    <row r="3" spans="1:33">
      <c r="A3" s="3" t="s">
        <v>13</v>
      </c>
      <c r="F3" t="s">
        <v>14</v>
      </c>
    </row>
    <row r="4" spans="1:33">
      <c r="A4" s="3" t="s">
        <v>15</v>
      </c>
      <c r="B4" t="s">
        <v>16</v>
      </c>
    </row>
    <row r="5" spans="1:33">
      <c r="A5" s="3" t="s">
        <v>17</v>
      </c>
      <c r="B5" t="s">
        <v>18</v>
      </c>
    </row>
    <row r="6" spans="1:33">
      <c r="A6" s="3" t="s">
        <v>19</v>
      </c>
      <c r="B6" t="s">
        <v>20</v>
      </c>
    </row>
    <row r="7" spans="1:33">
      <c r="A7" s="3"/>
    </row>
    <row r="8" spans="1:33">
      <c r="A8" s="3"/>
    </row>
    <row r="10" spans="1:33">
      <c r="A10" s="3" t="s">
        <v>21</v>
      </c>
      <c r="J10" s="17" t="s">
        <v>22</v>
      </c>
      <c r="K10" s="18"/>
      <c r="L10" s="18"/>
      <c r="M10" s="18"/>
      <c r="N10" s="19" t="s">
        <v>23</v>
      </c>
      <c r="O10" s="20"/>
      <c r="P10" s="20"/>
      <c r="Q10" s="20"/>
      <c r="R10" s="21" t="s">
        <v>24</v>
      </c>
      <c r="S10" s="22"/>
      <c r="T10" s="22"/>
      <c r="U10" s="22"/>
      <c r="V10" s="23" t="s">
        <v>25</v>
      </c>
      <c r="W10" s="24"/>
      <c r="X10" s="24"/>
      <c r="Y10" s="24"/>
    </row>
    <row r="11" spans="1:33">
      <c r="A11" s="12" t="s">
        <v>26</v>
      </c>
      <c r="B11" s="12" t="s">
        <v>27</v>
      </c>
      <c r="C11" s="12" t="s">
        <v>28</v>
      </c>
      <c r="D11" s="12" t="s">
        <v>29</v>
      </c>
      <c r="E11" s="12" t="s">
        <v>30</v>
      </c>
      <c r="J11" s="15" t="s">
        <v>27</v>
      </c>
      <c r="K11" s="16" t="s">
        <v>4</v>
      </c>
      <c r="L11" s="16" t="s">
        <v>29</v>
      </c>
      <c r="M11" s="16" t="s">
        <v>3</v>
      </c>
      <c r="N11" s="15" t="s">
        <v>27</v>
      </c>
      <c r="O11" s="16" t="s">
        <v>4</v>
      </c>
      <c r="P11" s="16" t="s">
        <v>29</v>
      </c>
      <c r="Q11" s="16" t="s">
        <v>3</v>
      </c>
      <c r="R11" s="15" t="s">
        <v>27</v>
      </c>
      <c r="S11" s="16" t="s">
        <v>4</v>
      </c>
      <c r="T11" s="16" t="s">
        <v>29</v>
      </c>
      <c r="U11" s="16" t="s">
        <v>3</v>
      </c>
      <c r="V11" s="15" t="s">
        <v>27</v>
      </c>
      <c r="W11" s="16" t="s">
        <v>4</v>
      </c>
      <c r="X11" s="16" t="s">
        <v>29</v>
      </c>
      <c r="Y11" s="16" t="s">
        <v>3</v>
      </c>
      <c r="AG11" s="13"/>
    </row>
    <row r="12" spans="1:33">
      <c r="A12" t="s">
        <v>31</v>
      </c>
      <c r="B12">
        <v>100</v>
      </c>
      <c r="C12">
        <f>(2900/2700)*'Lab Data &amp; Calculations'!C19</f>
        <v>6.5518518518518519E-4</v>
      </c>
      <c r="D12">
        <f>'Lab Data &amp; Calculations'!G19/((2700/2900)^2)</f>
        <v>2.117451111111111</v>
      </c>
      <c r="E12" t="s">
        <v>32</v>
      </c>
      <c r="J12">
        <v>100</v>
      </c>
      <c r="K12">
        <f>'Lab Data &amp; Calculations'!C19*(2900/2700)</f>
        <v>6.5518518518518519E-4</v>
      </c>
      <c r="L12">
        <f>'Lab Data &amp; Calculations'!G19*(2900/2700)^2</f>
        <v>2.1174511111111114</v>
      </c>
      <c r="M12">
        <f>K12*60000</f>
        <v>39.31111111111111</v>
      </c>
      <c r="N12">
        <v>200</v>
      </c>
      <c r="O12">
        <f>K12*(200/100)^3</f>
        <v>5.2414814814814815E-3</v>
      </c>
      <c r="P12">
        <f>L12*(200/100)^2</f>
        <v>8.4698044444444456</v>
      </c>
      <c r="Q12">
        <f>O12*60000</f>
        <v>314.48888888888888</v>
      </c>
      <c r="R12">
        <v>150</v>
      </c>
      <c r="S12">
        <f>K12*(150/100)^3</f>
        <v>2.2112500000000001E-3</v>
      </c>
      <c r="T12">
        <f>L12*(150/100)^2</f>
        <v>4.7642650000000009</v>
      </c>
      <c r="U12">
        <f>S12*60000</f>
        <v>132.67500000000001</v>
      </c>
      <c r="V12">
        <v>250</v>
      </c>
      <c r="W12">
        <f>K12*(250/100)^3</f>
        <v>1.0237268518518519E-2</v>
      </c>
      <c r="X12">
        <f>L12*(250/100)^2</f>
        <v>13.234069444444446</v>
      </c>
      <c r="Y12">
        <f>W12*60000</f>
        <v>614.23611111111109</v>
      </c>
      <c r="AG12" s="13"/>
    </row>
    <row r="13" spans="1:33">
      <c r="A13" t="s">
        <v>33</v>
      </c>
      <c r="B13">
        <v>150</v>
      </c>
      <c r="C13">
        <f>C12*(B13/B12)^3</f>
        <v>2.2112500000000001E-3</v>
      </c>
      <c r="D13">
        <f>D12*(B13/B12)^2</f>
        <v>4.764265</v>
      </c>
      <c r="E13" t="s">
        <v>32</v>
      </c>
      <c r="J13">
        <v>100</v>
      </c>
      <c r="K13">
        <f>'Lab Data &amp; Calculations'!C20*(2900/2700)</f>
        <v>5.9969135802469145E-4</v>
      </c>
      <c r="L13">
        <f>'Lab Data &amp; Calculations'!G20*(2900/2700)^2</f>
        <v>3.2938128395061739</v>
      </c>
      <c r="M13">
        <f t="shared" ref="M13:M22" si="0">K13*60000</f>
        <v>35.981481481481488</v>
      </c>
      <c r="N13">
        <v>200</v>
      </c>
      <c r="O13">
        <f t="shared" ref="O13:O22" si="1">K13*(200/100)^3</f>
        <v>4.7975308641975316E-3</v>
      </c>
      <c r="P13">
        <f t="shared" ref="P13:P22" si="2">L13*(200/100)^2</f>
        <v>13.175251358024695</v>
      </c>
      <c r="Q13">
        <f t="shared" ref="Q13:Q22" si="3">O13*60000</f>
        <v>287.8518518518519</v>
      </c>
      <c r="R13">
        <v>150</v>
      </c>
      <c r="S13">
        <f t="shared" ref="S13:S22" si="4">K13*(150/100)^3</f>
        <v>2.0239583333333338E-3</v>
      </c>
      <c r="T13">
        <f t="shared" ref="T13:T22" si="5">L13*(150/100)^2</f>
        <v>7.4110788888888912</v>
      </c>
      <c r="U13">
        <f t="shared" ref="U13:U22" si="6">S13*60000</f>
        <v>121.43750000000003</v>
      </c>
      <c r="V13">
        <v>250</v>
      </c>
      <c r="W13">
        <f t="shared" ref="W13:W22" si="7">K13*(250/100)^3</f>
        <v>9.3701774691358035E-3</v>
      </c>
      <c r="X13">
        <f t="shared" ref="X13:X21" si="8">L13*(250/100)^2</f>
        <v>20.586330246913587</v>
      </c>
      <c r="Y13">
        <f t="shared" ref="Y13:Y22" si="9">W13*60000</f>
        <v>562.21064814814827</v>
      </c>
      <c r="AG13" s="13"/>
    </row>
    <row r="14" spans="1:33">
      <c r="A14" t="s">
        <v>34</v>
      </c>
      <c r="B14">
        <v>200</v>
      </c>
      <c r="C14">
        <f t="shared" ref="C14:C15" si="10">C13*(B14/B13)^3</f>
        <v>5.2414814814814815E-3</v>
      </c>
      <c r="D14">
        <f t="shared" ref="D14:D15" si="11">D13*(B14/B13)^2</f>
        <v>8.4698044444444438</v>
      </c>
      <c r="E14" t="s">
        <v>35</v>
      </c>
      <c r="J14">
        <v>100</v>
      </c>
      <c r="K14">
        <f>'Lab Data &amp; Calculations'!C21*(2900/2700)</f>
        <v>5.352469135802469E-4</v>
      </c>
      <c r="L14">
        <f>'Lab Data &amp; Calculations'!G21*(2900/2700)^2</f>
        <v>4.4701745679012355</v>
      </c>
      <c r="M14">
        <f t="shared" si="0"/>
        <v>32.114814814814814</v>
      </c>
      <c r="N14">
        <v>200</v>
      </c>
      <c r="O14">
        <f t="shared" si="1"/>
        <v>4.2819753086419752E-3</v>
      </c>
      <c r="P14">
        <f t="shared" si="2"/>
        <v>17.880698271604942</v>
      </c>
      <c r="Q14">
        <f t="shared" si="3"/>
        <v>256.91851851851851</v>
      </c>
      <c r="R14">
        <v>150</v>
      </c>
      <c r="S14">
        <f t="shared" si="4"/>
        <v>1.8064583333333333E-3</v>
      </c>
      <c r="T14">
        <f t="shared" si="5"/>
        <v>10.057892777777781</v>
      </c>
      <c r="U14">
        <f t="shared" si="6"/>
        <v>108.3875</v>
      </c>
      <c r="V14">
        <v>250</v>
      </c>
      <c r="W14">
        <f t="shared" si="7"/>
        <v>8.3632330246913578E-3</v>
      </c>
      <c r="X14">
        <f t="shared" si="8"/>
        <v>27.938591049382723</v>
      </c>
      <c r="Y14">
        <f t="shared" si="9"/>
        <v>501.79398148148147</v>
      </c>
    </row>
    <row r="15" spans="1:33">
      <c r="A15" t="s">
        <v>36</v>
      </c>
      <c r="B15">
        <v>250</v>
      </c>
      <c r="C15">
        <f t="shared" si="10"/>
        <v>1.0237268518518519E-2</v>
      </c>
      <c r="D15">
        <f t="shared" si="11"/>
        <v>13.234069444444444</v>
      </c>
      <c r="E15" t="s">
        <v>35</v>
      </c>
      <c r="J15">
        <v>100</v>
      </c>
      <c r="K15">
        <f>'Lab Data &amp; Calculations'!C22*(2900/2700)</f>
        <v>4.63641975308642E-4</v>
      </c>
      <c r="L15">
        <f>'Lab Data &amp; Calculations'!G22*(2900/2700)^2</f>
        <v>5.6465362962962971</v>
      </c>
      <c r="M15">
        <f t="shared" si="0"/>
        <v>27.81851851851852</v>
      </c>
      <c r="N15">
        <v>200</v>
      </c>
      <c r="O15">
        <f t="shared" si="1"/>
        <v>3.709135802469136E-3</v>
      </c>
      <c r="P15">
        <f t="shared" si="2"/>
        <v>22.586145185185188</v>
      </c>
      <c r="Q15">
        <f t="shared" si="3"/>
        <v>222.54814814814816</v>
      </c>
      <c r="R15">
        <v>150</v>
      </c>
      <c r="S15">
        <f t="shared" si="4"/>
        <v>1.5647916666666668E-3</v>
      </c>
      <c r="T15">
        <f t="shared" si="5"/>
        <v>12.704706666666668</v>
      </c>
      <c r="U15">
        <f t="shared" si="6"/>
        <v>93.887500000000003</v>
      </c>
      <c r="V15">
        <v>250</v>
      </c>
      <c r="W15">
        <f t="shared" si="7"/>
        <v>7.244405864197531E-3</v>
      </c>
      <c r="X15">
        <f t="shared" si="8"/>
        <v>35.290851851851855</v>
      </c>
      <c r="Y15">
        <f t="shared" si="9"/>
        <v>434.66435185185185</v>
      </c>
    </row>
    <row r="16" spans="1:33">
      <c r="J16">
        <v>100</v>
      </c>
      <c r="K16">
        <f>'Lab Data &amp; Calculations'!C23*(2900/2700)</f>
        <v>4.0277777777777783E-4</v>
      </c>
      <c r="L16">
        <f>'Lab Data &amp; Calculations'!G23*(2900/2700)^2</f>
        <v>6.4699895061728405</v>
      </c>
      <c r="M16">
        <f t="shared" si="0"/>
        <v>24.166666666666671</v>
      </c>
      <c r="N16">
        <v>200</v>
      </c>
      <c r="O16">
        <f t="shared" si="1"/>
        <v>3.2222222222222227E-3</v>
      </c>
      <c r="P16">
        <f t="shared" si="2"/>
        <v>25.879958024691362</v>
      </c>
      <c r="Q16">
        <f t="shared" si="3"/>
        <v>193.33333333333337</v>
      </c>
      <c r="R16">
        <v>150</v>
      </c>
      <c r="S16">
        <f t="shared" si="4"/>
        <v>1.3593750000000001E-3</v>
      </c>
      <c r="T16">
        <f t="shared" si="5"/>
        <v>14.55747638888889</v>
      </c>
      <c r="U16">
        <f t="shared" si="6"/>
        <v>81.562500000000014</v>
      </c>
      <c r="V16">
        <v>250</v>
      </c>
      <c r="W16">
        <f t="shared" si="7"/>
        <v>6.2934027777777788E-3</v>
      </c>
      <c r="X16">
        <f t="shared" si="8"/>
        <v>40.437434413580256</v>
      </c>
      <c r="Y16">
        <f t="shared" si="9"/>
        <v>377.60416666666674</v>
      </c>
    </row>
    <row r="17" spans="1:25">
      <c r="A17" s="7"/>
      <c r="J17">
        <v>100</v>
      </c>
      <c r="K17">
        <f>'Lab Data &amp; Calculations'!C24*(2900/2700)</f>
        <v>3.2222222222222222E-4</v>
      </c>
      <c r="L17">
        <f>'Lab Data &amp; Calculations'!G24*(2900/2700)^2</f>
        <v>7.4110788888888903</v>
      </c>
      <c r="M17">
        <f t="shared" si="0"/>
        <v>19.333333333333332</v>
      </c>
      <c r="N17">
        <v>200</v>
      </c>
      <c r="O17">
        <f t="shared" si="1"/>
        <v>2.5777777777777778E-3</v>
      </c>
      <c r="P17">
        <f t="shared" si="2"/>
        <v>29.644315555555561</v>
      </c>
      <c r="Q17">
        <f t="shared" si="3"/>
        <v>154.66666666666666</v>
      </c>
      <c r="R17">
        <v>150</v>
      </c>
      <c r="S17">
        <f t="shared" si="4"/>
        <v>1.0874999999999999E-3</v>
      </c>
      <c r="T17">
        <f t="shared" si="5"/>
        <v>16.674927500000003</v>
      </c>
      <c r="U17">
        <f t="shared" si="6"/>
        <v>65.25</v>
      </c>
      <c r="V17">
        <v>250</v>
      </c>
      <c r="W17">
        <f t="shared" si="7"/>
        <v>5.0347222222222225E-3</v>
      </c>
      <c r="X17">
        <f t="shared" si="8"/>
        <v>46.319243055555567</v>
      </c>
      <c r="Y17">
        <f t="shared" si="9"/>
        <v>302.08333333333337</v>
      </c>
    </row>
    <row r="18" spans="1:25">
      <c r="A18" s="4"/>
      <c r="J18">
        <v>100</v>
      </c>
      <c r="K18">
        <f>'Lab Data &amp; Calculations'!C25*(2900/2700)</f>
        <v>2.6135802469135806E-4</v>
      </c>
      <c r="L18">
        <f>'Lab Data &amp; Calculations'!G25*(2900/2700)^2</f>
        <v>7.5287150617283958</v>
      </c>
      <c r="M18">
        <f t="shared" si="0"/>
        <v>15.681481481481484</v>
      </c>
      <c r="N18">
        <v>200</v>
      </c>
      <c r="O18">
        <f t="shared" si="1"/>
        <v>2.0908641975308645E-3</v>
      </c>
      <c r="P18">
        <f t="shared" si="2"/>
        <v>30.114860246913583</v>
      </c>
      <c r="Q18">
        <f t="shared" si="3"/>
        <v>125.45185185185187</v>
      </c>
      <c r="R18">
        <v>150</v>
      </c>
      <c r="S18">
        <f t="shared" si="4"/>
        <v>8.8208333333333346E-4</v>
      </c>
      <c r="T18">
        <f t="shared" si="5"/>
        <v>16.939608888888891</v>
      </c>
      <c r="U18">
        <f t="shared" si="6"/>
        <v>52.925000000000004</v>
      </c>
      <c r="V18">
        <v>250</v>
      </c>
      <c r="W18">
        <f t="shared" si="7"/>
        <v>4.0837191358024695E-3</v>
      </c>
      <c r="X18">
        <f t="shared" si="8"/>
        <v>47.054469135802471</v>
      </c>
      <c r="Y18">
        <f t="shared" si="9"/>
        <v>245.02314814814818</v>
      </c>
    </row>
    <row r="19" spans="1:25">
      <c r="A19" s="8"/>
      <c r="J19">
        <v>100</v>
      </c>
      <c r="K19">
        <f>'Lab Data &amp; Calculations'!C26*(2900/2700)</f>
        <v>1.7901234567901236E-4</v>
      </c>
      <c r="L19">
        <f>'Lab Data &amp; Calculations'!G26*(2900/2700)^2</f>
        <v>8.587440617283951</v>
      </c>
      <c r="M19">
        <f t="shared" si="0"/>
        <v>10.740740740740742</v>
      </c>
      <c r="N19">
        <v>200</v>
      </c>
      <c r="O19">
        <f t="shared" si="1"/>
        <v>1.4320987654320989E-3</v>
      </c>
      <c r="P19">
        <f t="shared" si="2"/>
        <v>34.349762469135804</v>
      </c>
      <c r="Q19">
        <f t="shared" si="3"/>
        <v>85.925925925925938</v>
      </c>
      <c r="R19">
        <v>150</v>
      </c>
      <c r="S19">
        <f t="shared" si="4"/>
        <v>6.041666666666667E-4</v>
      </c>
      <c r="T19">
        <f t="shared" si="5"/>
        <v>19.321741388888888</v>
      </c>
      <c r="U19">
        <f t="shared" si="6"/>
        <v>36.25</v>
      </c>
      <c r="V19">
        <v>250</v>
      </c>
      <c r="W19">
        <f t="shared" si="7"/>
        <v>2.7970679012345682E-3</v>
      </c>
      <c r="X19">
        <f t="shared" si="8"/>
        <v>53.671503858024693</v>
      </c>
      <c r="Y19">
        <f t="shared" si="9"/>
        <v>167.8240740740741</v>
      </c>
    </row>
    <row r="20" spans="1:25">
      <c r="A20" s="14" t="s">
        <v>26</v>
      </c>
      <c r="B20" s="14" t="s">
        <v>37</v>
      </c>
      <c r="C20" s="14" t="s">
        <v>38</v>
      </c>
      <c r="D20" s="14" t="s">
        <v>39</v>
      </c>
      <c r="E20" s="14" t="s">
        <v>40</v>
      </c>
      <c r="J20">
        <v>100</v>
      </c>
      <c r="K20">
        <f>'Lab Data &amp; Calculations'!C27*(2900/2700)</f>
        <v>1.1635802469135803E-4</v>
      </c>
      <c r="L20">
        <f>'Lab Data &amp; Calculations'!G27*(2900/2700)^2</f>
        <v>8.9403491358024709</v>
      </c>
      <c r="M20">
        <f t="shared" si="0"/>
        <v>6.9814814814814818</v>
      </c>
      <c r="N20">
        <v>200</v>
      </c>
      <c r="O20">
        <f t="shared" si="1"/>
        <v>9.3086419753086428E-4</v>
      </c>
      <c r="P20">
        <f t="shared" si="2"/>
        <v>35.761396543209884</v>
      </c>
      <c r="Q20">
        <f t="shared" si="3"/>
        <v>55.851851851851855</v>
      </c>
      <c r="R20">
        <v>150</v>
      </c>
      <c r="S20">
        <f t="shared" si="4"/>
        <v>3.9270833333333334E-4</v>
      </c>
      <c r="T20">
        <f t="shared" si="5"/>
        <v>20.115785555555561</v>
      </c>
      <c r="U20">
        <f t="shared" si="6"/>
        <v>23.5625</v>
      </c>
      <c r="V20">
        <v>250</v>
      </c>
      <c r="W20">
        <f t="shared" si="7"/>
        <v>1.8180941358024692E-3</v>
      </c>
      <c r="X20">
        <f t="shared" si="8"/>
        <v>55.877182098765445</v>
      </c>
      <c r="Y20">
        <f t="shared" si="9"/>
        <v>109.08564814814815</v>
      </c>
    </row>
    <row r="21" spans="1:25">
      <c r="A21" t="s">
        <v>31</v>
      </c>
      <c r="B21">
        <v>5</v>
      </c>
      <c r="C21" t="s">
        <v>41</v>
      </c>
      <c r="D21" s="13" t="s">
        <v>42</v>
      </c>
      <c r="E21" t="s">
        <v>43</v>
      </c>
      <c r="J21">
        <v>100</v>
      </c>
      <c r="K21">
        <f>'Lab Data &amp; Calculations'!C28*(2900/2700)</f>
        <v>5.9074074074074074E-5</v>
      </c>
      <c r="L21">
        <f>'Lab Data &amp; Calculations'!G28*(2900/2700)^2</f>
        <v>9.293257654320989</v>
      </c>
      <c r="M21">
        <f t="shared" si="0"/>
        <v>3.5444444444444443</v>
      </c>
      <c r="N21">
        <v>200</v>
      </c>
      <c r="O21">
        <f t="shared" si="1"/>
        <v>4.725925925925926E-4</v>
      </c>
      <c r="P21">
        <f t="shared" si="2"/>
        <v>37.173030617283956</v>
      </c>
      <c r="Q21">
        <f t="shared" si="3"/>
        <v>28.355555555555554</v>
      </c>
      <c r="R21">
        <v>150</v>
      </c>
      <c r="S21">
        <f t="shared" si="4"/>
        <v>1.9937500000000001E-4</v>
      </c>
      <c r="T21">
        <f t="shared" si="5"/>
        <v>20.909829722222227</v>
      </c>
      <c r="U21">
        <f t="shared" si="6"/>
        <v>11.9625</v>
      </c>
      <c r="V21">
        <v>250</v>
      </c>
      <c r="W21">
        <f t="shared" si="7"/>
        <v>9.2303240740740746E-4</v>
      </c>
      <c r="X21">
        <f t="shared" si="8"/>
        <v>58.082860339506183</v>
      </c>
      <c r="Y21">
        <f t="shared" si="9"/>
        <v>55.38194444444445</v>
      </c>
    </row>
    <row r="22" spans="1:25">
      <c r="A22" t="s">
        <v>33</v>
      </c>
      <c r="B22">
        <v>5</v>
      </c>
      <c r="C22" t="s">
        <v>42</v>
      </c>
      <c r="D22" s="13" t="s">
        <v>42</v>
      </c>
      <c r="E22" t="s">
        <v>43</v>
      </c>
      <c r="J22">
        <v>100</v>
      </c>
      <c r="K22">
        <f>'Lab Data &amp; Calculations'!C29*(2900/2700)</f>
        <v>0</v>
      </c>
      <c r="L22">
        <f>'Lab Data &amp; Calculations'!G29*(2900/2700)^2</f>
        <v>10.116710864197531</v>
      </c>
      <c r="M22">
        <f t="shared" si="0"/>
        <v>0</v>
      </c>
      <c r="N22">
        <v>200</v>
      </c>
      <c r="O22">
        <f t="shared" si="1"/>
        <v>0</v>
      </c>
      <c r="P22">
        <f t="shared" si="2"/>
        <v>40.466843456790123</v>
      </c>
      <c r="Q22">
        <f t="shared" si="3"/>
        <v>0</v>
      </c>
      <c r="R22">
        <v>150</v>
      </c>
      <c r="S22">
        <f t="shared" si="4"/>
        <v>0</v>
      </c>
      <c r="T22">
        <f t="shared" si="5"/>
        <v>22.762599444444444</v>
      </c>
      <c r="U22">
        <f t="shared" si="6"/>
        <v>0</v>
      </c>
      <c r="V22">
        <v>250</v>
      </c>
      <c r="W22">
        <f t="shared" si="7"/>
        <v>0</v>
      </c>
      <c r="X22">
        <f>L22*(250/100)^2</f>
        <v>63.22944290123457</v>
      </c>
      <c r="Y22">
        <f t="shared" si="9"/>
        <v>0</v>
      </c>
    </row>
    <row r="23" spans="1:25">
      <c r="A23" t="s">
        <v>34</v>
      </c>
      <c r="B23">
        <v>5</v>
      </c>
      <c r="C23" s="13">
        <f>D23/60000</f>
        <v>5.8098751923151767E-3</v>
      </c>
      <c r="D23" s="13">
        <f>K45</f>
        <v>348.59251153891063</v>
      </c>
      <c r="E23" t="s">
        <v>44</v>
      </c>
    </row>
    <row r="24" spans="1:25">
      <c r="A24" t="s">
        <v>36</v>
      </c>
      <c r="B24">
        <v>5</v>
      </c>
      <c r="C24" s="13">
        <f>D24/60000</f>
        <v>1.1923312126414875E-2</v>
      </c>
      <c r="D24" s="13">
        <f>L45</f>
        <v>715.39872758489253</v>
      </c>
      <c r="E24" t="s">
        <v>45</v>
      </c>
    </row>
    <row r="25" spans="1:25">
      <c r="A25" s="8"/>
      <c r="B25" s="8"/>
      <c r="C25" s="8"/>
      <c r="D25" s="8"/>
    </row>
    <row r="26" spans="1:25">
      <c r="J26" s="14" t="s">
        <v>46</v>
      </c>
      <c r="K26" s="14" t="s">
        <v>47</v>
      </c>
      <c r="L26" s="16" t="s">
        <v>48</v>
      </c>
      <c r="M26" s="14" t="s">
        <v>49</v>
      </c>
    </row>
    <row r="27" spans="1:25">
      <c r="J27">
        <v>0</v>
      </c>
      <c r="K27">
        <f xml:space="preserve"> Q12 + ( - P12) * (Q22 - Q12) / (P22 - P12)</f>
        <v>397.73594771241829</v>
      </c>
      <c r="L27">
        <f xml:space="preserve"> 614.2361111 + (J27 - 13.23406944) * (0 - 614.2361111) / (63.2294429 - 13.23406944)</f>
        <v>776.82802279672194</v>
      </c>
      <c r="M27">
        <f>L27+K27</f>
        <v>1174.5639705091403</v>
      </c>
      <c r="N27" s="13"/>
    </row>
    <row r="28" spans="1:25">
      <c r="A28" s="1"/>
      <c r="J28">
        <v>2</v>
      </c>
      <c r="K28">
        <f xml:space="preserve"> Q12 + ( J28- P12) * (Q22 - Q12) / (P22 - P12)</f>
        <v>378.07857324301523</v>
      </c>
      <c r="L28">
        <f t="shared" ref="L28:L45" si="12" xml:space="preserve"> 614.2361111 + (J28 - 13.23406944) * (0 - 614.2361111) / (63.2294429 - 13.23406944)</f>
        <v>752.2563047119902</v>
      </c>
      <c r="M28">
        <f t="shared" ref="M28:M45" si="13">L28+K28</f>
        <v>1130.3348779550054</v>
      </c>
      <c r="S28" s="13"/>
    </row>
    <row r="29" spans="1:25">
      <c r="A29" s="5"/>
      <c r="J29">
        <v>4</v>
      </c>
      <c r="K29">
        <f xml:space="preserve"> Q12 + ( J29- P12) * (Q22 - Q12) / (P22 - P12)</f>
        <v>358.42119877361216</v>
      </c>
      <c r="L29">
        <f t="shared" si="12"/>
        <v>727.68458662725845</v>
      </c>
      <c r="M29">
        <f t="shared" si="13"/>
        <v>1086.1057854008707</v>
      </c>
    </row>
    <row r="30" spans="1:25">
      <c r="J30">
        <v>6</v>
      </c>
      <c r="K30">
        <f xml:space="preserve"> Q12 + (J30 - P12) * (Q22 - Q12) / (P22 - P12)</f>
        <v>338.76382430420909</v>
      </c>
      <c r="L30">
        <f t="shared" si="12"/>
        <v>703.11286854252671</v>
      </c>
      <c r="M30">
        <f t="shared" si="13"/>
        <v>1041.8766928467358</v>
      </c>
    </row>
    <row r="31" spans="1:25">
      <c r="A31" s="1"/>
      <c r="J31">
        <v>8</v>
      </c>
      <c r="K31">
        <f>Q12 + (J31 - P12) * (Q22 - Q12) / (P22 - P12)</f>
        <v>319.10644983480603</v>
      </c>
      <c r="L31">
        <f t="shared" si="12"/>
        <v>678.54115045779497</v>
      </c>
      <c r="M31">
        <f t="shared" si="13"/>
        <v>997.64760029260106</v>
      </c>
    </row>
    <row r="32" spans="1:25">
      <c r="A32" s="5"/>
      <c r="J32">
        <v>10</v>
      </c>
      <c r="K32">
        <f xml:space="preserve"> Q12 + (J32 - P12) * (Q22 - Q12) / (P22 - P12)</f>
        <v>299.44907536540296</v>
      </c>
      <c r="L32">
        <f t="shared" si="12"/>
        <v>653.96943237306323</v>
      </c>
      <c r="M32">
        <f t="shared" si="13"/>
        <v>953.41850773846613</v>
      </c>
    </row>
    <row r="33" spans="1:19">
      <c r="A33" s="9"/>
      <c r="B33" s="9"/>
      <c r="C33" s="9">
        <f>B33/'Pump design'!M12</f>
        <v>0</v>
      </c>
      <c r="D33" s="9"/>
      <c r="E33" s="9"/>
      <c r="F33" s="9"/>
      <c r="J33">
        <v>12</v>
      </c>
      <c r="K33">
        <f xml:space="preserve"> Q12 + ( J33- P12) * (Q22 - Q12) / (P22 - P12)</f>
        <v>279.7917008959999</v>
      </c>
      <c r="L33">
        <f t="shared" si="12"/>
        <v>629.39771428833137</v>
      </c>
      <c r="M33">
        <f t="shared" si="13"/>
        <v>909.18941518433121</v>
      </c>
    </row>
    <row r="34" spans="1:19">
      <c r="J34">
        <v>15</v>
      </c>
      <c r="K34">
        <f xml:space="preserve"> Q12 + ( J34- P12) * (Q22 - Q12) / (P22 - P12)</f>
        <v>250.30563919189532</v>
      </c>
      <c r="L34">
        <f t="shared" si="12"/>
        <v>592.54013716123382</v>
      </c>
      <c r="M34">
        <f t="shared" si="13"/>
        <v>842.84577635312917</v>
      </c>
    </row>
    <row r="35" spans="1:19">
      <c r="J35">
        <v>20</v>
      </c>
      <c r="K35">
        <f xml:space="preserve"> Q12 + ( J35- P12) * (Q22 - Q12) / (P22 - P12)</f>
        <v>201.16220301838769</v>
      </c>
      <c r="L35">
        <f t="shared" si="12"/>
        <v>531.1108419494044</v>
      </c>
      <c r="M35">
        <f t="shared" si="13"/>
        <v>732.27304496779209</v>
      </c>
    </row>
    <row r="36" spans="1:19">
      <c r="J36">
        <v>25</v>
      </c>
      <c r="K36">
        <f xml:space="preserve"> Q12 + ( J36- P12) * (Q22 - Q12) / (P22 - P12)</f>
        <v>152.01876684488002</v>
      </c>
      <c r="L36">
        <f t="shared" si="12"/>
        <v>469.68154673757499</v>
      </c>
      <c r="M36">
        <f t="shared" si="13"/>
        <v>621.70031358245501</v>
      </c>
    </row>
    <row r="37" spans="1:19">
      <c r="J37">
        <v>30</v>
      </c>
      <c r="K37">
        <f xml:space="preserve"> Q12 + ( J37- P12) * (Q22 - Q12) / (P22 - P12)</f>
        <v>102.87533067137235</v>
      </c>
      <c r="L37">
        <f t="shared" si="12"/>
        <v>408.25225152574563</v>
      </c>
      <c r="M37">
        <f t="shared" si="13"/>
        <v>511.12758219711799</v>
      </c>
    </row>
    <row r="38" spans="1:19">
      <c r="J38">
        <v>35</v>
      </c>
      <c r="K38">
        <f xml:space="preserve"> Q12 + ( J38- P12) * (Q22 - Q12) / (P22 - P12)</f>
        <v>53.731894497864687</v>
      </c>
      <c r="L38">
        <f t="shared" si="12"/>
        <v>346.82295631391622</v>
      </c>
      <c r="M38">
        <f t="shared" si="13"/>
        <v>400.55485081178091</v>
      </c>
    </row>
    <row r="39" spans="1:19">
      <c r="A39" s="3"/>
      <c r="J39">
        <v>40</v>
      </c>
      <c r="K39">
        <f xml:space="preserve"> Q12 + ( J39- P12) * (Q22 - Q12) / (P22 - P12)</f>
        <v>4.5884583243570205</v>
      </c>
      <c r="L39">
        <f t="shared" si="12"/>
        <v>285.39366110208687</v>
      </c>
      <c r="M39">
        <f t="shared" si="13"/>
        <v>289.98211942644389</v>
      </c>
    </row>
    <row r="40" spans="1:19">
      <c r="A40" s="8"/>
      <c r="B40" s="8"/>
      <c r="C40" s="8"/>
    </row>
    <row r="41" spans="1:19">
      <c r="A41" s="10"/>
      <c r="B41" s="10"/>
      <c r="C41" s="10"/>
      <c r="J41">
        <v>50</v>
      </c>
      <c r="K41">
        <f xml:space="preserve"> Q12 + (J41 - P12) * (Q22 - Q12) / (P22 - P12)</f>
        <v>-93.698414022658255</v>
      </c>
      <c r="L41">
        <f t="shared" si="12"/>
        <v>162.53507067842804</v>
      </c>
      <c r="M41">
        <f t="shared" si="13"/>
        <v>68.836656655769787</v>
      </c>
    </row>
    <row r="42" spans="1:19">
      <c r="A42" s="10"/>
      <c r="B42" s="10"/>
      <c r="C42" s="10"/>
      <c r="J42">
        <v>55</v>
      </c>
      <c r="K42">
        <f xml:space="preserve"> Q12 + (J42 - P12) * (Q22 - Q12) / (P22 - P12)</f>
        <v>-142.84185019616592</v>
      </c>
      <c r="L42">
        <f t="shared" si="12"/>
        <v>101.10577546659863</v>
      </c>
      <c r="M42">
        <f t="shared" si="13"/>
        <v>-41.736074729567292</v>
      </c>
    </row>
    <row r="43" spans="1:19">
      <c r="A43" s="10"/>
      <c r="B43" s="10"/>
      <c r="C43" s="10"/>
      <c r="J43">
        <v>60</v>
      </c>
      <c r="K43">
        <f xml:space="preserve"> Q12 + ( J43- P12) * (Q22 - Q12) / (P22 - P12)</f>
        <v>-191.98528636967359</v>
      </c>
      <c r="L43">
        <f t="shared" si="12"/>
        <v>39.676480254769331</v>
      </c>
      <c r="M43">
        <f t="shared" si="13"/>
        <v>-152.30880611490426</v>
      </c>
      <c r="R43">
        <v>0</v>
      </c>
      <c r="S43">
        <v>5</v>
      </c>
    </row>
    <row r="44" spans="1:19">
      <c r="A44" s="10"/>
      <c r="B44" s="10"/>
      <c r="C44" s="10"/>
      <c r="J44">
        <v>63</v>
      </c>
      <c r="K44">
        <f xml:space="preserve"> Q12 + (J44 - P12) * (Q22 - Q12) / (P22 - P12)</f>
        <v>-221.47134807377819</v>
      </c>
      <c r="L44">
        <f t="shared" si="12"/>
        <v>2.8189031276716605</v>
      </c>
      <c r="M44">
        <f t="shared" si="13"/>
        <v>-218.65244494610653</v>
      </c>
      <c r="R44">
        <v>1200</v>
      </c>
      <c r="S44">
        <v>5</v>
      </c>
    </row>
    <row r="45" spans="1:19">
      <c r="J45" s="38">
        <v>5</v>
      </c>
      <c r="K45" s="38">
        <f xml:space="preserve"> Q12 + (J45 - P12) * (Q22 - Q12) / (P22 - P12)</f>
        <v>348.59251153891063</v>
      </c>
      <c r="L45" s="38">
        <f t="shared" si="12"/>
        <v>715.39872758489253</v>
      </c>
      <c r="M45" s="38">
        <f t="shared" si="13"/>
        <v>1063.9912391238031</v>
      </c>
    </row>
    <row r="46" spans="1:19">
      <c r="A46" s="3"/>
    </row>
    <row r="47" spans="1:19">
      <c r="A47" s="9"/>
      <c r="B47" s="9"/>
      <c r="C47" s="9"/>
      <c r="D47" s="9"/>
    </row>
    <row r="48" spans="1:19">
      <c r="A48" s="11"/>
      <c r="B48" s="11"/>
      <c r="C48" s="11"/>
      <c r="D48" s="11"/>
    </row>
    <row r="49" spans="1:31">
      <c r="A49" s="11"/>
      <c r="B49" s="11"/>
      <c r="C49" s="11"/>
      <c r="D49" s="11"/>
    </row>
    <row r="50" spans="1:31">
      <c r="A50" s="11"/>
      <c r="B50" s="11"/>
      <c r="C50" s="11"/>
      <c r="D50" s="11"/>
    </row>
    <row r="51" spans="1:31">
      <c r="A51" s="11"/>
      <c r="B51" s="11"/>
      <c r="C51" s="11"/>
      <c r="D51" s="11"/>
    </row>
    <row r="52" spans="1:31">
      <c r="A52" s="11"/>
      <c r="B52" s="11"/>
      <c r="C52" s="11"/>
      <c r="D52" s="11"/>
    </row>
    <row r="53" spans="1:31">
      <c r="A53" s="11"/>
      <c r="B53" s="11"/>
      <c r="C53" s="11"/>
      <c r="D53" s="11"/>
    </row>
    <row r="54" spans="1:31">
      <c r="AE54" t="s">
        <v>50</v>
      </c>
    </row>
    <row r="55" spans="1:31">
      <c r="A55" s="3"/>
    </row>
    <row r="56" spans="1:31">
      <c r="A56" s="6"/>
    </row>
    <row r="57" spans="1:31">
      <c r="A57" s="6"/>
    </row>
    <row r="58" spans="1:31">
      <c r="A58" s="6"/>
    </row>
    <row r="59" spans="1:31">
      <c r="A59" s="6"/>
    </row>
    <row r="60" spans="1:31">
      <c r="A60" s="6"/>
    </row>
    <row r="61" spans="1:31">
      <c r="A61" s="6"/>
    </row>
    <row r="62" spans="1:31">
      <c r="A62" s="6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Q22" sqref="Q22"/>
    </sheetView>
  </sheetViews>
  <sheetFormatPr defaultRowHeight="15"/>
  <cols>
    <col min="1" max="6" width="14" customWidth="1"/>
  </cols>
  <sheetData>
    <row r="1" spans="1:6" ht="15.75">
      <c r="A1" s="43" t="s">
        <v>51</v>
      </c>
      <c r="B1" s="44"/>
      <c r="C1" s="44"/>
      <c r="D1" s="44"/>
      <c r="E1" s="44"/>
      <c r="F1" s="44"/>
    </row>
    <row r="3" spans="1:6">
      <c r="A3" s="1" t="s">
        <v>1</v>
      </c>
      <c r="C3" s="1" t="s">
        <v>9</v>
      </c>
      <c r="E3" s="1" t="s">
        <v>11</v>
      </c>
    </row>
    <row r="4" spans="1:6">
      <c r="A4" s="2" t="s">
        <v>3</v>
      </c>
      <c r="B4" s="2" t="s">
        <v>29</v>
      </c>
      <c r="C4" s="2" t="s">
        <v>3</v>
      </c>
      <c r="D4" s="2" t="s">
        <v>29</v>
      </c>
      <c r="E4" s="2" t="s">
        <v>3</v>
      </c>
      <c r="F4" s="2" t="s">
        <v>29</v>
      </c>
    </row>
    <row r="5" spans="1:6">
      <c r="A5">
        <v>41.5</v>
      </c>
      <c r="B5">
        <f>'Lab Data &amp; Calculations'!G5</f>
        <v>2.75319</v>
      </c>
      <c r="C5">
        <v>36.6</v>
      </c>
      <c r="D5">
        <f>'Lab Data &amp; Calculations'!G19</f>
        <v>1.8354599999999999</v>
      </c>
      <c r="E5">
        <v>24.3</v>
      </c>
      <c r="F5">
        <f>'Lab Data &amp; Calculations'!G33</f>
        <v>1.1216699999999999</v>
      </c>
    </row>
    <row r="6" spans="1:6">
      <c r="A6">
        <v>37.299999999999997</v>
      </c>
      <c r="B6">
        <f>'Lab Data &amp; Calculations'!G6</f>
        <v>4.3847099999999992</v>
      </c>
      <c r="C6">
        <v>33.5</v>
      </c>
      <c r="D6">
        <f>'Lab Data &amp; Calculations'!G20</f>
        <v>2.8551600000000001</v>
      </c>
      <c r="E6">
        <v>22.2</v>
      </c>
      <c r="F6">
        <f>'Lab Data &amp; Calculations'!G34</f>
        <v>1.6315199999999999</v>
      </c>
    </row>
    <row r="7" spans="1:6">
      <c r="A7">
        <v>33.6</v>
      </c>
      <c r="B7">
        <f>'Lab Data &amp; Calculations'!G7</f>
        <v>6.0162299999999993</v>
      </c>
      <c r="C7">
        <v>29.9</v>
      </c>
      <c r="D7">
        <f>'Lab Data &amp; Calculations'!G21</f>
        <v>3.8748599999999995</v>
      </c>
      <c r="E7">
        <v>20.2</v>
      </c>
      <c r="F7">
        <f>'Lab Data &amp; Calculations'!G35</f>
        <v>2.1413700000000002</v>
      </c>
    </row>
    <row r="8" spans="1:6">
      <c r="A8">
        <v>29.6</v>
      </c>
      <c r="B8">
        <f>'Lab Data &amp; Calculations'!G8</f>
        <v>7.2398699999999989</v>
      </c>
      <c r="C8">
        <v>25.9</v>
      </c>
      <c r="D8">
        <f>'Lab Data &amp; Calculations'!G22</f>
        <v>4.8945599999999994</v>
      </c>
      <c r="E8">
        <v>17.5</v>
      </c>
      <c r="F8">
        <f>'Lab Data &amp; Calculations'!G36</f>
        <v>2.75319</v>
      </c>
    </row>
    <row r="9" spans="1:6">
      <c r="A9">
        <v>25.5</v>
      </c>
      <c r="B9">
        <f>'Lab Data &amp; Calculations'!G9</f>
        <v>8.055629999999999</v>
      </c>
      <c r="C9">
        <v>22.5</v>
      </c>
      <c r="D9">
        <f>'Lab Data &amp; Calculations'!G23</f>
        <v>5.6083499999999997</v>
      </c>
      <c r="E9">
        <v>15</v>
      </c>
      <c r="F9">
        <f>'Lab Data &amp; Calculations'!G37</f>
        <v>3.4669799999999995</v>
      </c>
    </row>
    <row r="10" spans="1:6">
      <c r="A10">
        <v>21.5</v>
      </c>
      <c r="B10">
        <f>'Lab Data &amp; Calculations'!G10</f>
        <v>8.9733599999999996</v>
      </c>
      <c r="C10">
        <v>18</v>
      </c>
      <c r="D10">
        <f>'Lab Data &amp; Calculations'!G24</f>
        <v>6.4241099999999998</v>
      </c>
      <c r="E10">
        <v>12.8</v>
      </c>
      <c r="F10">
        <f>'Lab Data &amp; Calculations'!G38</f>
        <v>3.6709200000000002</v>
      </c>
    </row>
    <row r="11" spans="1:6">
      <c r="A11">
        <v>17.8</v>
      </c>
      <c r="B11">
        <f>'Lab Data &amp; Calculations'!G11</f>
        <v>9.9930599999999998</v>
      </c>
      <c r="C11">
        <v>14.6</v>
      </c>
      <c r="D11">
        <f>'Lab Data &amp; Calculations'!G25</f>
        <v>6.5260799999999994</v>
      </c>
      <c r="E11">
        <v>9.9</v>
      </c>
      <c r="F11">
        <f>'Lab Data &amp; Calculations'!G39</f>
        <v>4.0788000000000002</v>
      </c>
    </row>
    <row r="12" spans="1:6">
      <c r="A12">
        <v>12.5</v>
      </c>
      <c r="B12">
        <f>'Lab Data &amp; Calculations'!G12</f>
        <v>10.808819999999999</v>
      </c>
      <c r="C12">
        <v>10</v>
      </c>
      <c r="D12">
        <f>'Lab Data &amp; Calculations'!G26</f>
        <v>7.4438099999999991</v>
      </c>
      <c r="E12">
        <v>7.5</v>
      </c>
      <c r="F12">
        <f>'Lab Data &amp; Calculations'!G40</f>
        <v>4.3847099999999992</v>
      </c>
    </row>
    <row r="13" spans="1:6">
      <c r="A13">
        <v>8.4</v>
      </c>
      <c r="B13">
        <f>'Lab Data &amp; Calculations'!G13</f>
        <v>11.420640000000001</v>
      </c>
      <c r="C13">
        <v>6.5</v>
      </c>
      <c r="D13">
        <f>'Lab Data &amp; Calculations'!G27</f>
        <v>7.7497199999999991</v>
      </c>
      <c r="E13">
        <v>5.2</v>
      </c>
      <c r="F13">
        <f>'Lab Data &amp; Calculations'!G41</f>
        <v>4.5886499999999995</v>
      </c>
    </row>
    <row r="14" spans="1:6">
      <c r="A14">
        <v>3.6</v>
      </c>
      <c r="B14">
        <f>'Lab Data &amp; Calculations'!G14</f>
        <v>12.134429999999998</v>
      </c>
      <c r="C14">
        <v>3.3</v>
      </c>
      <c r="D14">
        <f>'Lab Data &amp; Calculations'!G28</f>
        <v>8.055629999999999</v>
      </c>
      <c r="E14">
        <v>3.3</v>
      </c>
      <c r="F14">
        <f>'Lab Data &amp; Calculations'!G42</f>
        <v>4.7925899999999997</v>
      </c>
    </row>
    <row r="15" spans="1:6">
      <c r="A15">
        <v>0</v>
      </c>
      <c r="B15">
        <f>'Lab Data &amp; Calculations'!G15</f>
        <v>13.154129999999999</v>
      </c>
      <c r="C15">
        <v>0</v>
      </c>
      <c r="D15">
        <f>'Lab Data &amp; Calculations'!G29</f>
        <v>8.7694199999999984</v>
      </c>
      <c r="E15">
        <v>0</v>
      </c>
      <c r="F15">
        <f>'Lab Data &amp; Calculations'!G43</f>
        <v>5.3024399999999998</v>
      </c>
    </row>
  </sheetData>
  <mergeCells count="1">
    <mergeCell ref="A1:F1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0D3E4049A14883B46D29002CC42D" ma:contentTypeVersion="15" ma:contentTypeDescription="Create a new document." ma:contentTypeScope="" ma:versionID="5f5f19e1757dafa79305292f080192af">
  <xsd:schema xmlns:xsd="http://www.w3.org/2001/XMLSchema" xmlns:xs="http://www.w3.org/2001/XMLSchema" xmlns:p="http://schemas.microsoft.com/office/2006/metadata/properties" xmlns:ns3="f4f2ead0-fef8-4851-9f2c-0fe4a8a8fa01" xmlns:ns4="2c0bc506-25b3-4fd6-80f3-6df4f0cc4363" targetNamespace="http://schemas.microsoft.com/office/2006/metadata/properties" ma:root="true" ma:fieldsID="9cbde7ddd37a1624ea23fa66212582cc" ns3:_="" ns4:_="">
    <xsd:import namespace="f4f2ead0-fef8-4851-9f2c-0fe4a8a8fa01"/>
    <xsd:import namespace="2c0bc506-25b3-4fd6-80f3-6df4f0cc43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2ead0-fef8-4851-9f2c-0fe4a8a8fa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bc506-25b3-4fd6-80f3-6df4f0cc4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f2ead0-fef8-4851-9f2c-0fe4a8a8fa01" xsi:nil="true"/>
  </documentManagement>
</p:properties>
</file>

<file path=customXml/itemProps1.xml><?xml version="1.0" encoding="utf-8"?>
<ds:datastoreItem xmlns:ds="http://schemas.openxmlformats.org/officeDocument/2006/customXml" ds:itemID="{4791D8AE-540E-475B-B405-56D73EBBC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f2ead0-fef8-4851-9f2c-0fe4a8a8fa01"/>
    <ds:schemaRef ds:uri="2c0bc506-25b3-4fd6-80f3-6df4f0cc4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183BC1-72F8-40C7-A992-8CE1BE3122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AF3131-C6D9-49C4-9037-9A5E2C89E166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4f2ead0-fef8-4851-9f2c-0fe4a8a8fa01"/>
    <ds:schemaRef ds:uri="http://purl.org/dc/elements/1.1/"/>
    <ds:schemaRef ds:uri="http://www.w3.org/XML/1998/namespace"/>
    <ds:schemaRef ds:uri="2c0bc506-25b3-4fd6-80f3-6df4f0cc4363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Data &amp; Calculations</vt:lpstr>
      <vt:lpstr>Pump design</vt:lpstr>
      <vt:lpstr>Performance Curves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Annabelle Johnstone</cp:lastModifiedBy>
  <cp:revision/>
  <cp:lastPrinted>2026-03-02T21:45:13Z</cp:lastPrinted>
  <dcterms:created xsi:type="dcterms:W3CDTF">2026-02-07T22:34:06Z</dcterms:created>
  <dcterms:modified xsi:type="dcterms:W3CDTF">2026-03-02T21:48:03Z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0x010100C6290D3E4049A14883B46D29002CC42D</vt:lpwstr>
  </property>
</Properties>
</file>